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要件" sheetId="2" state="visible" r:id="rId2"/>
    <sheet name="検証結果" sheetId="3" state="visible" r:id="rId3"/>
    <sheet name="収益試算" sheetId="4" state="visible" r:id="rId4"/>
    <sheet name="本番チェッ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  <font>
      <name val="Arial"/>
      <color rgb="000000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3" fontId="5" fillId="6" borderId="1" applyAlignment="1" pivotButton="0" quotePrefix="0" xfId="0">
      <alignment vertical="top" wrapText="1"/>
    </xf>
    <xf numFmtId="165" fontId="5" fillId="6" borderId="1" applyAlignment="1" pivotButton="0" quotePrefix="0" xfId="0">
      <alignment vertical="top" wrapText="1"/>
    </xf>
    <xf numFmtId="2" fontId="5" fillId="6" borderId="1" applyAlignment="1" pivotButton="0" quotePrefix="0" xfId="0">
      <alignment vertical="top" wrapText="1"/>
    </xf>
    <xf numFmtId="0" fontId="3" fillId="0" borderId="1" pivotButton="0" quotePrefix="0" xfId="0"/>
    <xf numFmtId="3" fontId="2" fillId="0" borderId="1" pivotButton="0" quotePrefix="0" xfId="0"/>
    <xf numFmtId="0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戦略名</t>
        </is>
      </c>
      <c r="B2" s="3" t="inlineStr">
        <is>
          <t>bitbank ada_jpy マーケットメイク（リベート＋先行市場ゲート）</t>
        </is>
      </c>
    </row>
    <row r="3">
      <c r="A3" s="2" t="inlineStr">
        <is>
          <t>考え方</t>
        </is>
      </c>
      <c r="B3" s="3" t="inlineStr">
        <is>
          <t>買いと売りの指値を同時に出し、スプレッドとメイカーリベートで稼ぐ。値段の予想はしない。</t>
        </is>
      </c>
    </row>
    <row r="4">
      <c r="A4" s="2" t="inlineStr">
        <is>
          <t>取引所・銘柄</t>
        </is>
      </c>
      <c r="B4" s="3" t="inlineStr">
        <is>
          <t>bitbank 現物 ADA/JPY（候補は毎日スキャンで追加）</t>
        </is>
      </c>
    </row>
    <row r="5">
      <c r="A5" s="2" t="inlineStr">
        <is>
          <t>稼ぎの源泉</t>
        </is>
      </c>
      <c r="B5" s="3" t="inlineStr">
        <is>
          <t>メイカーリベート 片道 2bps（往復 4bps）。スプレッドと狙われる損はほぼ相殺。</t>
        </is>
      </c>
    </row>
    <row r="6">
      <c r="A6" s="2" t="inlineStr">
        <is>
          <t>負けないための核</t>
        </is>
      </c>
      <c r="B6" s="3" t="inlineStr">
        <is>
          <t>Binance ADAUSDT（先に動く市場）が 2bps 以上ずれたら、狙われる側の注文を引く。株版の「先物が動いたら引く」と同じ。</t>
        </is>
      </c>
    </row>
    <row r="7">
      <c r="A7" s="2" t="inlineStr">
        <is>
          <t>在庫の扱い</t>
        </is>
      </c>
      <c r="B7" s="3" t="inlineStr">
        <is>
          <t>同じ向きの在庫を 2分持ったら手仕舞い（減らす側だけを最良気配の内側に出す）。株版の「引けで閉じる」の代わり。</t>
        </is>
      </c>
    </row>
    <row r="8">
      <c r="A8" s="2" t="inlineStr">
        <is>
          <t>現在の段階</t>
        </is>
      </c>
      <c r="B8" s="3" t="inlineStr">
        <is>
          <t>紙上トレード（仮想の注文）を EC2 で24時間稼働中。本番は条件達成後。</t>
        </is>
      </c>
    </row>
    <row r="9">
      <c r="A9" s="2" t="inlineStr">
        <is>
          <t>この表の見方</t>
        </is>
      </c>
      <c r="B9" s="3" t="inlineStr">
        <is>
          <t>「要件」=決めたこと、「検証結果」=測った数字、「収益試算」=青字を変えると再計算、「本番チェック」=残りの作業。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60" customWidth="1" min="4" max="4"/>
    <col width="10" customWidth="1" min="5" max="5"/>
    <col width="30" customWidth="1" min="6" max="6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設定・基準</t>
        </is>
      </c>
      <c r="D1" s="1" t="inlineStr">
        <is>
          <t>理由・根拠</t>
        </is>
      </c>
      <c r="E1" s="1" t="inlineStr">
        <is>
          <t>状態</t>
        </is>
      </c>
      <c r="F1" s="1" t="inlineStr">
        <is>
          <t>実装場所</t>
        </is>
      </c>
    </row>
    <row r="2">
      <c r="A2" s="3" t="inlineStr">
        <is>
          <t>銘柄選び</t>
        </is>
      </c>
      <c r="B2" s="3" t="inlineStr">
        <is>
          <t>成行（テイカー）手数料</t>
        </is>
      </c>
      <c r="C2" s="3" t="inlineStr">
        <is>
          <t>5bps 以上</t>
        </is>
      </c>
      <c r="D2" s="3" t="inlineStr">
        <is>
          <t>成行が無料の板（GMO レバレッジ）は、先行市場のずれをタダで取られて負けた。</t>
        </is>
      </c>
      <c r="E2" s="4" t="inlineStr">
        <is>
          <t>済</t>
        </is>
      </c>
      <c r="F2" s="3" t="inlineStr">
        <is>
          <t>research/jpscan.py</t>
        </is>
      </c>
    </row>
    <row r="3">
      <c r="A3" s="3" t="inlineStr">
        <is>
          <t>銘柄選び</t>
        </is>
      </c>
      <c r="B3" s="3" t="inlineStr">
        <is>
          <t>スプレッド</t>
        </is>
      </c>
      <c r="C3" s="3" t="inlineStr">
        <is>
          <t>1bps 以上</t>
        </is>
      </c>
      <c r="D3" s="3" t="inlineStr">
        <is>
          <t>詰まった板（bitbank XRP 0.5bps）はリベート目当ての業者で取り分がない。</t>
        </is>
      </c>
      <c r="E3" s="4" t="inlineStr">
        <is>
          <t>済</t>
        </is>
      </c>
      <c r="F3" s="3" t="inlineStr">
        <is>
          <t>research/jpscan.py</t>
        </is>
      </c>
    </row>
    <row r="4">
      <c r="A4" s="3" t="inlineStr">
        <is>
          <t>銘柄選び</t>
        </is>
      </c>
      <c r="B4" s="3" t="inlineStr">
        <is>
          <t>1日の出来高</t>
        </is>
      </c>
      <c r="C4" s="3" t="inlineStr">
        <is>
          <t>5,000万円 以上</t>
        </is>
      </c>
      <c r="D4" s="3" t="inlineStr">
        <is>
          <t>約定しなければ稼げない。</t>
        </is>
      </c>
      <c r="E4" s="4" t="inlineStr">
        <is>
          <t>済</t>
        </is>
      </c>
      <c r="F4" s="3" t="inlineStr">
        <is>
          <t>research/jpscan.py</t>
        </is>
      </c>
    </row>
    <row r="5">
      <c r="A5" s="3" t="inlineStr">
        <is>
          <t>銘柄選び</t>
        </is>
      </c>
      <c r="B5" s="3" t="inlineStr">
        <is>
          <t>順位付け</t>
        </is>
      </c>
      <c r="C5" s="3" t="inlineStr">
        <is>
          <t>(スプレッド÷2＋リベート)×出来高</t>
        </is>
      </c>
      <c r="D5" s="3" t="inlineStr">
        <is>
          <t>スプレッドだけで並べると、人がいない板が上に来る。</t>
        </is>
      </c>
      <c r="E5" s="4" t="inlineStr">
        <is>
          <t>済</t>
        </is>
      </c>
      <c r="F5" s="3" t="inlineStr">
        <is>
          <t>research/jpscan.py</t>
        </is>
      </c>
    </row>
    <row r="6">
      <c r="A6" s="3" t="inlineStr">
        <is>
          <t>銘柄選び</t>
        </is>
      </c>
      <c r="B6" s="3" t="inlineStr">
        <is>
          <t>毎日のスキャン</t>
        </is>
      </c>
      <c r="C6" s="3" t="inlineStr">
        <is>
          <t>毎朝 9時（GitHub Actions）→ Slack</t>
        </is>
      </c>
      <c r="D6" s="3" t="inlineStr">
        <is>
          <t>候補は日や時間帯で入れ替わる。10分間観測して中央値。</t>
        </is>
      </c>
      <c r="E6" s="4" t="inlineStr">
        <is>
          <t>済</t>
        </is>
      </c>
      <c r="F6" s="3" t="inlineStr">
        <is>
          <t>.github/workflows/jpscan.yml</t>
        </is>
      </c>
    </row>
    <row r="7">
      <c r="A7" s="3" t="inlineStr">
        <is>
          <t>注文</t>
        </is>
      </c>
      <c r="B7" s="3" t="inlineStr">
        <is>
          <t>注文の置き方</t>
        </is>
      </c>
      <c r="C7" s="3" t="inlineStr">
        <is>
          <t>適正価格から 2bps 以上離す（--min-edge-bps 2）</t>
        </is>
      </c>
      <c r="D7" s="3" t="inlineStr">
        <is>
          <t>12時間の検証で 2〜4bps を比較し、2bps が最良。</t>
        </is>
      </c>
      <c r="E7" s="4" t="inlineStr">
        <is>
          <t>済</t>
        </is>
      </c>
      <c r="F7" s="3" t="inlineStr">
        <is>
          <t>mm/quoter.py</t>
        </is>
      </c>
    </row>
    <row r="8">
      <c r="A8" s="3" t="inlineStr">
        <is>
          <t>注文</t>
        </is>
      </c>
      <c r="B8" s="3" t="inlineStr">
        <is>
          <t>適正価格</t>
        </is>
      </c>
      <c r="C8" s="3" t="inlineStr">
        <is>
          <t>板の厚さの偏りと売買の偏りで補正したマイクロプライス</t>
        </is>
      </c>
      <c r="D8" s="3" t="inlineStr">
        <is>
          <t>中値だけだと、厚い側を読めず狙われる。</t>
        </is>
      </c>
      <c r="E8" s="4" t="inlineStr">
        <is>
          <t>済</t>
        </is>
      </c>
      <c r="F8" s="3" t="inlineStr">
        <is>
          <t>mm/fair_value.py</t>
        </is>
      </c>
    </row>
    <row r="9">
      <c r="A9" s="3" t="inlineStr">
        <is>
          <t>注文</t>
        </is>
      </c>
      <c r="B9" s="3" t="inlineStr">
        <is>
          <t>段数・サイズ</t>
        </is>
      </c>
      <c r="C9" s="3" t="inlineStr">
        <is>
          <t>片側3段、1回 約1万円（段ごとに 0.7 倍）</t>
        </is>
      </c>
      <c r="D9" s="3" t="inlineStr">
        <is>
          <t>10万円の元手に合わせたサイズ。</t>
        </is>
      </c>
      <c r="E9" s="4" t="inlineStr">
        <is>
          <t>済</t>
        </is>
      </c>
      <c r="F9" s="3" t="inlineStr">
        <is>
          <t>mm/quoter.py</t>
        </is>
      </c>
    </row>
    <row r="10">
      <c r="A10" s="3" t="inlineStr">
        <is>
          <t>注文</t>
        </is>
      </c>
      <c r="B10" s="3" t="inlineStr">
        <is>
          <t>出し直し間隔</t>
        </is>
      </c>
      <c r="C10" s="3" t="inlineStr">
        <is>
          <t>250ms</t>
        </is>
      </c>
      <c r="D10" s="3" t="inlineStr">
        <is>
          <t>株版と同じ。値段の変わらない注文は残して行列の順番を守る。</t>
        </is>
      </c>
      <c r="E10" s="4" t="inlineStr">
        <is>
          <t>済</t>
        </is>
      </c>
      <c r="F10" s="3" t="inlineStr">
        <is>
          <t>mm/strategy.py</t>
        </is>
      </c>
    </row>
    <row r="11">
      <c r="A11" s="3" t="inlineStr">
        <is>
          <t>守り</t>
        </is>
      </c>
      <c r="B11" s="3" t="inlineStr">
        <is>
          <t>先行市場ゲート</t>
        </is>
      </c>
      <c r="C11" s="3" t="inlineStr">
        <is>
          <t>Binance ADAUSDT が 2bps 以上ずれたら、狙われる側を引く</t>
        </is>
      </c>
      <c r="D11" s="3" t="inlineStr">
        <is>
          <t>引かないと全設定で負け、引くと全設定でプラス（bitbank 3時間・12時間）。</t>
        </is>
      </c>
      <c r="E11" s="4" t="inlineStr">
        <is>
          <t>済</t>
        </is>
      </c>
      <c r="F11" s="3" t="inlineStr">
        <is>
          <t>mm/toxicity.py</t>
        </is>
      </c>
    </row>
    <row r="12">
      <c r="A12" s="3" t="inlineStr">
        <is>
          <t>守り</t>
        </is>
      </c>
      <c r="B12" s="3" t="inlineStr">
        <is>
          <t>在庫の手仕舞い</t>
        </is>
      </c>
      <c r="C12" s="3" t="inlineStr">
        <is>
          <t>同じ向きの在庫を 120秒 持ったら減らす側だけ出す</t>
        </is>
      </c>
      <c r="D12" s="3" t="inlineStr">
        <is>
          <t>手仕舞いなしは 12時間で全部負け、ありで全部プラス。30〜120秒が良く、300秒は悪化。</t>
        </is>
      </c>
      <c r="E12" s="4" t="inlineStr">
        <is>
          <t>済</t>
        </is>
      </c>
      <c r="F12" s="3" t="inlineStr">
        <is>
          <t>mm/strategy.py</t>
        </is>
      </c>
    </row>
    <row r="13">
      <c r="A13" s="3" t="inlineStr">
        <is>
          <t>守り</t>
        </is>
      </c>
      <c r="B13" s="3" t="inlineStr">
        <is>
          <t>在庫上限</t>
        </is>
      </c>
      <c r="C13" s="3" t="inlineStr">
        <is>
          <t>1回の注文の 10倍（約10万円分）</t>
        </is>
      </c>
      <c r="D13" s="3" t="inlineStr">
        <is>
          <t>値動きで在庫が膨らむのを止める。</t>
        </is>
      </c>
      <c r="E13" s="4" t="inlineStr">
        <is>
          <t>済</t>
        </is>
      </c>
      <c r="F13" s="3" t="inlineStr">
        <is>
          <t>mm/risk.py</t>
        </is>
      </c>
    </row>
    <row r="14">
      <c r="A14" s="3" t="inlineStr">
        <is>
          <t>守り</t>
        </is>
      </c>
      <c r="B14" s="3" t="inlineStr">
        <is>
          <t>損失上限</t>
        </is>
      </c>
      <c r="C14" s="3" t="inlineStr">
        <is>
          <t>3,000円で停止</t>
        </is>
      </c>
      <c r="D14" s="3" t="inlineStr">
        <is>
          <t>紙上トレードでは停止後30秒で自動再開する（本番前に手動再開へ変更が必要）。</t>
        </is>
      </c>
      <c r="E14" s="5" t="inlineStr">
        <is>
          <t>進行中</t>
        </is>
      </c>
      <c r="F14" s="3" t="inlineStr">
        <is>
          <t>cli.py paper</t>
        </is>
      </c>
    </row>
    <row r="15">
      <c r="A15" s="3" t="inlineStr">
        <is>
          <t>守り</t>
        </is>
      </c>
      <c r="B15" s="3" t="inlineStr">
        <is>
          <t>自動停止</t>
        </is>
      </c>
      <c r="C15" s="3" t="inlineStr">
        <is>
          <t>実力（10秒内計）が 2日連続マイナスで停止フラグ</t>
        </is>
      </c>
      <c r="D15" s="3" t="inlineStr">
        <is>
          <t>勝てなくなった銘柄を放置しない。再開は jsboard resume で手動。</t>
        </is>
      </c>
      <c r="E15" s="4" t="inlineStr">
        <is>
          <t>済</t>
        </is>
      </c>
      <c r="F15" s="3" t="inlineStr">
        <is>
          <t>research/daily.py</t>
        </is>
      </c>
    </row>
    <row r="16">
      <c r="A16" s="3" t="inlineStr">
        <is>
          <t>手数料</t>
        </is>
      </c>
      <c r="B16" s="3" t="inlineStr">
        <is>
          <t>メイカー</t>
        </is>
      </c>
      <c r="C16" s="3" t="inlineStr">
        <is>
          <t>bitbank −0.02%（片道 2bps もらえる）</t>
        </is>
      </c>
      <c r="D16" s="3" t="inlineStr">
        <is>
          <t>取引所 API から銘柄ごとに自動取得。GMO アルトは −0.03%。</t>
        </is>
      </c>
      <c r="E16" s="4" t="inlineStr">
        <is>
          <t>済</t>
        </is>
      </c>
      <c r="F16" s="3" t="inlineStr">
        <is>
          <t>cli.py _maker_bps_for</t>
        </is>
      </c>
    </row>
    <row r="17">
      <c r="A17" s="3" t="inlineStr">
        <is>
          <t>手数料</t>
        </is>
      </c>
      <c r="B17" s="3" t="inlineStr">
        <is>
          <t>本番の注文種別</t>
        </is>
      </c>
      <c r="C17" s="3" t="inlineStr">
        <is>
          <t>メイカー専用（ポストオンリー）の指値だけ</t>
        </is>
      </c>
      <c r="D17" s="3" t="inlineStr">
        <is>
          <t>成行 0.12% を払うと取り分が消える。</t>
        </is>
      </c>
      <c r="E17" s="6" t="inlineStr">
        <is>
          <t>未</t>
        </is>
      </c>
      <c r="F17" s="3" t="inlineStr">
        <is>
          <t>本番用注文プログラム（未作成）</t>
        </is>
      </c>
    </row>
    <row r="18">
      <c r="A18" s="3" t="inlineStr">
        <is>
          <t>運用</t>
        </is>
      </c>
      <c r="B18" s="3" t="inlineStr">
        <is>
          <t>録画</t>
        </is>
      </c>
      <c r="C18" s="3" t="inlineStr">
        <is>
          <t>EC2 で bitbank＋Binance を24時間、S3 に5分ごと（2日で自動削除）</t>
        </is>
      </c>
      <c r="D18" s="3" t="inlineStr">
        <is>
          <t>毎日の検証の材料。</t>
        </is>
      </c>
      <c r="E18" s="4" t="inlineStr">
        <is>
          <t>済</t>
        </is>
      </c>
      <c r="F18" s="3" t="inlineStr">
        <is>
          <t>deploy/ec2</t>
        </is>
      </c>
    </row>
    <row r="19">
      <c r="A19" s="3" t="inlineStr">
        <is>
          <t>運用</t>
        </is>
      </c>
      <c r="B19" s="3" t="inlineStr">
        <is>
          <t>候補の自動録画</t>
        </is>
      </c>
      <c r="C19" s="3" t="inlineStr">
        <is>
          <t>スキャン上位2銘柄を毎日自動で録画</t>
        </is>
      </c>
      <c r="D19" s="3" t="inlineStr">
        <is>
          <t>Mac で稼働予定。EC2 の検証が読むにはコード更新が1回必要。</t>
        </is>
      </c>
      <c r="E19" s="5" t="inlineStr">
        <is>
          <t>進行中</t>
        </is>
      </c>
      <c r="F19" s="3" t="inlineStr">
        <is>
          <t>cli.py autorecord</t>
        </is>
      </c>
    </row>
    <row r="20">
      <c r="A20" s="3" t="inlineStr">
        <is>
          <t>運用</t>
        </is>
      </c>
      <c r="B20" s="3" t="inlineStr">
        <is>
          <t>毎朝の検証</t>
        </is>
      </c>
      <c r="C20" s="3" t="inlineStr">
        <is>
          <t>前日1日分を固定設定で再生 → Slack（9時20分）</t>
        </is>
      </c>
      <c r="D20" s="3" t="inlineStr">
        <is>
          <t>設定は固定。毎日選び直すと後から当たりを選ぶ罠になる。</t>
        </is>
      </c>
      <c r="E20" s="4" t="inlineStr">
        <is>
          <t>済</t>
        </is>
      </c>
      <c r="F20" s="3" t="inlineStr">
        <is>
          <t>cli.py daily</t>
        </is>
      </c>
    </row>
    <row r="21">
      <c r="A21" s="3" t="inlineStr">
        <is>
          <t>運用</t>
        </is>
      </c>
      <c r="B21" s="3" t="inlineStr">
        <is>
          <t>紙上トレード</t>
        </is>
      </c>
      <c r="C21" s="3" t="inlineStr">
        <is>
          <t>本物の板・仮想の注文で24時間 → 毎朝 Slack</t>
        </is>
      </c>
      <c r="D21" s="3" t="inlineStr">
        <is>
          <t>録画の検証と別のやり方で確かめる。</t>
        </is>
      </c>
      <c r="E21" s="4" t="inlineStr">
        <is>
          <t>済</t>
        </is>
      </c>
      <c r="F21" s="3" t="inlineStr">
        <is>
          <t>cli.py paper</t>
        </is>
      </c>
    </row>
    <row r="22">
      <c r="A22" s="3" t="inlineStr">
        <is>
          <t>運用</t>
        </is>
      </c>
      <c r="B22" s="3" t="inlineStr">
        <is>
          <t>サーバー費用</t>
        </is>
      </c>
      <c r="C22" s="3" t="inlineStr">
        <is>
          <t>t2.micro 無料枠。使用時間 740時間で停止する予算</t>
        </is>
      </c>
      <c r="D22" s="3" t="inlineStr">
        <is>
          <t>予算は使用実績が出てから設定（未）。</t>
        </is>
      </c>
      <c r="E22" s="6" t="inlineStr">
        <is>
          <t>未</t>
        </is>
      </c>
      <c r="F22" s="3" t="inlineStr">
        <is>
          <t>AWS Budgets</t>
        </is>
      </c>
    </row>
    <row r="23">
      <c r="A23" s="3" t="inlineStr">
        <is>
          <t>本番条件</t>
        </is>
      </c>
      <c r="B23" s="3" t="inlineStr">
        <is>
          <t>実力プラスの日数</t>
        </is>
      </c>
      <c r="C23" s="3" t="inlineStr">
        <is>
          <t>直近10日のうち 8日以上で 10秒内計がプラス</t>
        </is>
      </c>
      <c r="D23" s="3" t="inlineStr">
        <is>
          <t>たまたまの数日で判断しない。</t>
        </is>
      </c>
      <c r="E23" s="5" t="inlineStr">
        <is>
          <t>進行中</t>
        </is>
      </c>
      <c r="F23" s="3" t="inlineStr">
        <is>
          <t>research/daily.py</t>
        </is>
      </c>
    </row>
    <row r="24">
      <c r="A24" s="3" t="inlineStr">
        <is>
          <t>本番条件</t>
        </is>
      </c>
      <c r="B24" s="3" t="inlineStr">
        <is>
          <t>連続マイナス</t>
        </is>
      </c>
      <c r="C24" s="3" t="inlineStr">
        <is>
          <t>10日の中に 2日連続マイナスがない</t>
        </is>
      </c>
      <c r="D24" s="3" t="inlineStr"/>
      <c r="E24" s="5" t="inlineStr">
        <is>
          <t>進行中</t>
        </is>
      </c>
      <c r="F24" s="3" t="inlineStr">
        <is>
          <t>research/daily.py</t>
        </is>
      </c>
    </row>
    <row r="25">
      <c r="A25" s="3" t="inlineStr">
        <is>
          <t>本番条件</t>
        </is>
      </c>
      <c r="B25" s="3" t="inlineStr">
        <is>
          <t>紙上トレードの合計</t>
        </is>
      </c>
      <c r="C25" s="3" t="inlineStr">
        <is>
          <t>10日分の合計がプラス</t>
        </is>
      </c>
      <c r="D25" s="3" t="inlineStr"/>
      <c r="E25" s="5" t="inlineStr">
        <is>
          <t>進行中</t>
        </is>
      </c>
      <c r="F25" s="3" t="inlineStr">
        <is>
          <t>research/daily.py</t>
        </is>
      </c>
    </row>
    <row r="26">
      <c r="A26" s="3" t="inlineStr">
        <is>
          <t>本番</t>
        </is>
      </c>
      <c r="B26" s="3" t="inlineStr">
        <is>
          <t>元手</t>
        </is>
      </c>
      <c r="C26" s="3" t="inlineStr">
        <is>
          <t>10万円から（レバレッジなし・現物）</t>
        </is>
      </c>
      <c r="D26" s="3" t="inlineStr">
        <is>
          <t>検証と本番の差を確かめてから段階的に増やす。</t>
        </is>
      </c>
      <c r="E26" s="6" t="inlineStr">
        <is>
          <t>未</t>
        </is>
      </c>
      <c r="F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10" customWidth="1" min="4" max="4"/>
    <col width="14" customWidth="1" min="5" max="5"/>
    <col width="14" customWidth="1" min="6" max="6"/>
    <col width="60" customWidth="1" min="7" max="7"/>
  </cols>
  <sheetData>
    <row r="1">
      <c r="A1" s="1" t="inlineStr">
        <is>
          <t>取引所</t>
        </is>
      </c>
      <c r="B1" s="1" t="inlineStr">
        <is>
          <t>銘柄</t>
        </is>
      </c>
      <c r="C1" s="1" t="inlineStr">
        <is>
          <t>条件</t>
        </is>
      </c>
      <c r="D1" s="1" t="inlineStr">
        <is>
          <t>約定</t>
        </is>
      </c>
      <c r="E1" s="1" t="inlineStr">
        <is>
          <t>10秒内計(bps)</t>
        </is>
      </c>
      <c r="F1" s="1" t="inlineStr">
        <is>
          <t>手数料後(bps)</t>
        </is>
      </c>
      <c r="G1" s="1" t="inlineStr">
        <is>
          <t>判定・メモ</t>
        </is>
      </c>
    </row>
    <row r="2">
      <c r="A2" s="3" t="inlineStr">
        <is>
          <t>Binance</t>
        </is>
      </c>
      <c r="B2" s="3" t="inlineStr">
        <is>
          <t>BTCUSDT</t>
        </is>
      </c>
      <c r="C2" s="3" t="inlineStr">
        <is>
          <t>録画2時間・株と同じ条件</t>
        </is>
      </c>
      <c r="D2" s="7" t="n"/>
      <c r="E2" s="8" t="n"/>
      <c r="F2" s="8" t="n"/>
      <c r="G2" s="3" t="inlineStr">
        <is>
          <t>負け：スプレッド 0.015bps、行列739倍。必要リベート片道 0.95bps</t>
        </is>
      </c>
    </row>
    <row r="3">
      <c r="A3" s="3" t="inlineStr">
        <is>
          <t>Hyperliquid</t>
        </is>
      </c>
      <c r="B3" s="3" t="inlineStr">
        <is>
          <t>ADA</t>
        </is>
      </c>
      <c r="C3" s="3" t="inlineStr">
        <is>
          <t>板の確認（1分）</t>
        </is>
      </c>
      <c r="D3" s="7" t="n"/>
      <c r="E3" s="8" t="n"/>
      <c r="F3" s="8" t="n"/>
      <c r="G3" s="3" t="inlineStr">
        <is>
          <t>不適：刻みが細かくスプレッド 0.4bps</t>
        </is>
      </c>
    </row>
    <row r="4">
      <c r="A4" s="3" t="inlineStr">
        <is>
          <t>Binance</t>
        </is>
      </c>
      <c r="B4" s="3" t="inlineStr">
        <is>
          <t>ADAUSDT</t>
        </is>
      </c>
      <c r="C4" s="3" t="inlineStr">
        <is>
          <t>12時間・プロ前提</t>
        </is>
      </c>
      <c r="D4" s="7" t="n">
        <v>488</v>
      </c>
      <c r="E4" s="8" t="n"/>
      <c r="F4" s="8" t="n">
        <v>3.3</v>
      </c>
      <c r="G4" s="3" t="inlineStr">
        <is>
          <t>手数料前 +3.30（許容料率 +1.65）。手数料 2bps だと負け</t>
        </is>
      </c>
    </row>
    <row r="5">
      <c r="A5" s="3" t="inlineStr">
        <is>
          <t>GMO レバレッジ</t>
        </is>
      </c>
      <c r="B5" s="3" t="inlineStr">
        <is>
          <t>XRP_JPY</t>
        </is>
      </c>
      <c r="C5" s="3" t="inlineStr">
        <is>
          <t>12時間・12通り</t>
        </is>
      </c>
      <c r="D5" s="7" t="n">
        <v>699</v>
      </c>
      <c r="E5" s="8" t="n"/>
      <c r="F5" s="8" t="n">
        <v>-0.8100000000000001</v>
      </c>
      <c r="G5" s="3" t="inlineStr">
        <is>
          <t>全設定で負け（成行無料で狙われる）</t>
        </is>
      </c>
    </row>
    <row r="6">
      <c r="A6" s="3" t="inlineStr">
        <is>
          <t>GMO 現物</t>
        </is>
      </c>
      <c r="B6" s="3" t="inlineStr">
        <is>
          <t>XRP</t>
        </is>
      </c>
      <c r="C6" s="3" t="inlineStr">
        <is>
          <t>3時間・距離4bps・引く2bps</t>
        </is>
      </c>
      <c r="D6" s="7" t="n">
        <v>137</v>
      </c>
      <c r="E6" s="8" t="n">
        <v>5.2</v>
      </c>
      <c r="F6" s="8" t="n">
        <v>-0.8</v>
      </c>
      <c r="G6" s="3" t="inlineStr">
        <is>
          <t>約定が少なく判断できない</t>
        </is>
      </c>
    </row>
    <row r="7">
      <c r="A7" s="3" t="inlineStr">
        <is>
          <t>GMO 現物</t>
        </is>
      </c>
      <c r="B7" s="3" t="inlineStr">
        <is>
          <t>ETH</t>
        </is>
      </c>
      <c r="C7" s="3" t="inlineStr">
        <is>
          <t>3時間・8通り</t>
        </is>
      </c>
      <c r="D7" s="7" t="n">
        <v>24</v>
      </c>
      <c r="E7" s="8" t="n">
        <v>14.9</v>
      </c>
      <c r="F7" s="8" t="n">
        <v>94.95</v>
      </c>
      <c r="G7" s="3" t="inlineStr">
        <is>
          <t>約定が少なく判断できない（プラスは値上がりの運）</t>
        </is>
      </c>
    </row>
    <row r="8">
      <c r="A8" s="3" t="inlineStr">
        <is>
          <t>bitbank</t>
        </is>
      </c>
      <c r="B8" s="3" t="inlineStr">
        <is>
          <t>ada_jpy</t>
        </is>
      </c>
      <c r="C8" s="3" t="inlineStr">
        <is>
          <t>3時間・引く2bps（6通り）</t>
        </is>
      </c>
      <c r="D8" s="7" t="n">
        <v>256</v>
      </c>
      <c r="E8" s="8" t="n">
        <v>3.79</v>
      </c>
      <c r="F8" s="8" t="n">
        <v>30.59</v>
      </c>
      <c r="G8" s="3" t="inlineStr">
        <is>
          <t>引くと全設定プラス、引かないとほぼゼロかマイナス</t>
        </is>
      </c>
    </row>
    <row r="9">
      <c r="A9" s="3" t="inlineStr">
        <is>
          <t>bitbank</t>
        </is>
      </c>
      <c r="B9" s="3" t="inlineStr">
        <is>
          <t>ada_jpy</t>
        </is>
      </c>
      <c r="C9" s="3" t="inlineStr">
        <is>
          <t>12時間・2bps・手仕舞い120秒</t>
        </is>
      </c>
      <c r="D9" s="7" t="n">
        <v>1592</v>
      </c>
      <c r="E9" s="8" t="n">
        <v>3.02</v>
      </c>
      <c r="F9" s="8" t="n">
        <v>1.26</v>
      </c>
      <c r="G9" s="3" t="inlineStr">
        <is>
          <t>採用設定。手仕舞いなしは全部負け</t>
        </is>
      </c>
    </row>
    <row r="10">
      <c r="A10" s="3" t="inlineStr">
        <is>
          <t>bitbank</t>
        </is>
      </c>
      <c r="B10" s="3" t="inlineStr">
        <is>
          <t>ada_jpy</t>
        </is>
      </c>
      <c r="C10" s="3" t="inlineStr">
        <is>
          <t>12時間・飛び越え約定なし</t>
        </is>
      </c>
      <c r="D10" s="7" t="n">
        <v>127</v>
      </c>
      <c r="E10" s="8" t="n">
        <v>2.74</v>
      </c>
      <c r="F10" s="8" t="n">
        <v>11.11</v>
      </c>
      <c r="G10" s="3" t="inlineStr">
        <is>
          <t>約定の数は仮定で12倍違うが、実力はプラスのまま</t>
        </is>
      </c>
    </row>
    <row r="11">
      <c r="A11" s="3" t="inlineStr">
        <is>
          <t>bitbank</t>
        </is>
      </c>
      <c r="B11" s="3" t="inlineStr">
        <is>
          <t>ada_jpy</t>
        </is>
      </c>
      <c r="C11" s="3" t="inlineStr">
        <is>
          <t>毎朝の検証 9/26（約16時間）</t>
        </is>
      </c>
      <c r="D11" s="7" t="n">
        <v>1768</v>
      </c>
      <c r="E11" s="8" t="n">
        <v>4.26</v>
      </c>
      <c r="F11" s="8" t="n">
        <v>2.26</v>
      </c>
      <c r="G11" s="3" t="inlineStr">
        <is>
          <t>固定設定</t>
        </is>
      </c>
    </row>
    <row r="12">
      <c r="A12" s="3" t="inlineStr">
        <is>
          <t>bitbank</t>
        </is>
      </c>
      <c r="B12" s="3" t="inlineStr">
        <is>
          <t>sui_jpy</t>
        </is>
      </c>
      <c r="C12" s="3" t="inlineStr">
        <is>
          <t>毎朝の検証 9/26（約16時間）</t>
        </is>
      </c>
      <c r="D12" s="7" t="n">
        <v>89</v>
      </c>
      <c r="E12" s="8" t="n">
        <v>1.94</v>
      </c>
      <c r="F12" s="8" t="n">
        <v>-13.58</v>
      </c>
      <c r="G12" s="3" t="inlineStr">
        <is>
          <t>約定が少なく在庫の値動きで負け</t>
        </is>
      </c>
    </row>
    <row r="13">
      <c r="A13" s="3" t="inlineStr">
        <is>
          <t>bitbank</t>
        </is>
      </c>
      <c r="B13" s="3" t="inlineStr">
        <is>
          <t>ada_jpy</t>
        </is>
      </c>
      <c r="C13" s="3" t="inlineStr">
        <is>
          <t>紙上トレード 9/26（約10時間）</t>
        </is>
      </c>
      <c r="D13" s="7" t="n">
        <v>1130</v>
      </c>
      <c r="E13" s="8" t="n"/>
      <c r="F13" s="8" t="n"/>
      <c r="G13" s="3" t="inlineStr">
        <is>
          <t>+1,189円（リベート 1,640円込み）、在庫0で終了</t>
        </is>
      </c>
    </row>
    <row r="15">
      <c r="A15" s="9" t="inlineStr">
        <is>
          <t>10秒内計 = スプレッド＋10秒以内の在庫損益＋手数料（その日の値動きの運を除いた実力）。bps は約定金額あたり。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80" customWidth="1" min="5" max="5"/>
  </cols>
  <sheetData>
    <row r="1">
      <c r="A1" s="10" t="inlineStr">
        <is>
          <t>黄色の青字セルを変えると再計算されます。1日の利益 = 約定回数 × 1約定の金額 × 取り分(bps) ÷ 10,000</t>
        </is>
      </c>
    </row>
    <row r="3">
      <c r="A3" s="1" t="inlineStr">
        <is>
          <t>項目</t>
        </is>
      </c>
      <c r="B3" s="1" t="inlineStr">
        <is>
          <t>少なめ</t>
        </is>
      </c>
      <c r="C3" s="1" t="inlineStr">
        <is>
          <t>紙上トレード並み</t>
        </is>
      </c>
      <c r="D3" s="1" t="inlineStr">
        <is>
          <t>多め</t>
        </is>
      </c>
      <c r="E3" s="1" t="inlineStr">
        <is>
          <t>単位・出典</t>
        </is>
      </c>
    </row>
    <row r="4">
      <c r="A4" s="3" t="inlineStr">
        <is>
          <t>1回の注文金額</t>
        </is>
      </c>
      <c r="B4" s="11" t="n">
        <v>10000</v>
      </c>
      <c r="C4" s="11" t="n">
        <v>10000</v>
      </c>
      <c r="D4" s="11" t="n">
        <v>10000</v>
      </c>
      <c r="E4" s="3" t="inlineStr">
        <is>
          <t>円（元手10万円の設定）</t>
        </is>
      </c>
    </row>
    <row r="5">
      <c r="A5" s="3" t="inlineStr">
        <is>
          <t>1約定の金額の比率</t>
        </is>
      </c>
      <c r="B5" s="12" t="n">
        <v>0.7</v>
      </c>
      <c r="C5" s="12" t="n">
        <v>0.7</v>
      </c>
      <c r="D5" s="12" t="n">
        <v>0.7</v>
      </c>
      <c r="E5" s="3" t="inlineStr">
        <is>
          <t>注文金額に対する平均（段ごとに0.7倍・部分約定）。紙上トレードの実績から逆算</t>
        </is>
      </c>
    </row>
    <row r="6">
      <c r="A6" s="3" t="inlineStr">
        <is>
          <t>1日の約定回数</t>
        </is>
      </c>
      <c r="B6" s="11" t="n">
        <v>254</v>
      </c>
      <c r="C6" s="11" t="n">
        <v>2700</v>
      </c>
      <c r="D6" s="11" t="n">
        <v>3200</v>
      </c>
      <c r="E6" s="3" t="inlineStr">
        <is>
          <t>回。少なめ=飛び越え約定なし（12時間127回）、紙上並み=9/26（10時間1,130回）、多め=12時間1,592回</t>
        </is>
      </c>
    </row>
    <row r="7">
      <c r="A7" s="3" t="inlineStr">
        <is>
          <t>取り分</t>
        </is>
      </c>
      <c r="B7" s="13" t="n">
        <v>1.26</v>
      </c>
      <c r="C7" s="13" t="n">
        <v>1.5</v>
      </c>
      <c r="D7" s="13" t="n">
        <v>2.26</v>
      </c>
      <c r="E7" s="3" t="inlineStr">
        <is>
          <t>bps（約定金額あたり、在庫の値動き込み）。少なめ=12時間の手数料後、紙上並み=9/26 紙上 1,189円÷約定金額、多め=9/26 毎朝の検証の手数料後</t>
        </is>
      </c>
    </row>
    <row r="8">
      <c r="A8" s="3" t="inlineStr">
        <is>
          <t>元手</t>
        </is>
      </c>
      <c r="B8" s="11" t="n">
        <v>100000</v>
      </c>
      <c r="C8" s="11" t="n">
        <v>100000</v>
      </c>
      <c r="D8" s="11" t="n">
        <v>100000</v>
      </c>
      <c r="E8" s="3" t="inlineStr">
        <is>
          <t>円</t>
        </is>
      </c>
    </row>
    <row r="10">
      <c r="A10" s="14" t="inlineStr">
        <is>
          <t>1日の約定金額</t>
        </is>
      </c>
      <c r="B10" s="15">
        <f>B4*B5*B6</f>
        <v/>
      </c>
      <c r="C10" s="15">
        <f>C4*C5*C6</f>
        <v/>
      </c>
      <c r="D10" s="15">
        <f>D4*D5*D6</f>
        <v/>
      </c>
      <c r="E10" s="16" t="inlineStr">
        <is>
          <t>円</t>
        </is>
      </c>
    </row>
    <row r="11">
      <c r="A11" s="14" t="inlineStr">
        <is>
          <t>1日の利益</t>
        </is>
      </c>
      <c r="B11" s="15">
        <f>B10*B7/10000</f>
        <v/>
      </c>
      <c r="C11" s="15">
        <f>C10*C7/10000</f>
        <v/>
      </c>
      <c r="D11" s="15">
        <f>D10*D7/10000</f>
        <v/>
      </c>
      <c r="E11" s="16" t="inlineStr">
        <is>
          <t>円</t>
        </is>
      </c>
    </row>
    <row r="12">
      <c r="A12" s="14" t="inlineStr">
        <is>
          <t>1か月の利益（30日）</t>
        </is>
      </c>
      <c r="B12" s="15">
        <f>B11*30</f>
        <v/>
      </c>
      <c r="C12" s="15">
        <f>C11*30</f>
        <v/>
      </c>
      <c r="D12" s="15">
        <f>D11*30</f>
        <v/>
      </c>
      <c r="E12" s="16" t="inlineStr">
        <is>
          <t>円</t>
        </is>
      </c>
    </row>
    <row r="13">
      <c r="A13" s="14" t="inlineStr">
        <is>
          <t>元手に対する月利</t>
        </is>
      </c>
      <c r="B13" s="17">
        <f>IF(B8=0,0,B12/B8)</f>
        <v/>
      </c>
      <c r="C13" s="17">
        <f>IF(C8=0,0,C12/C8)</f>
        <v/>
      </c>
      <c r="D13" s="17">
        <f>IF(D8=0,0,D12/D8)</f>
        <v/>
      </c>
      <c r="E13" s="16" t="inlineStr">
        <is>
          <t>元手に対する割合</t>
        </is>
      </c>
    </row>
    <row r="15">
      <c r="A15" s="9" t="inlineStr">
        <is>
          <t>検算：紙上トレード 9/26 は 1,130約定 × 7,000円 × 1.5bps ≒ 1,187円（実績 +1,189円）。</t>
        </is>
      </c>
    </row>
    <row r="16">
      <c r="A16" s="9" t="inlineStr">
        <is>
          <t>注意：在庫の値動きで日々の損益は大きく上下する。平均の目安なので1か月単位で見ること。</t>
        </is>
      </c>
    </row>
    <row r="17">
      <c r="A17" s="9" t="inlineStr">
        <is>
          <t>注意：利益の大半はリベート。bitbank がリベートをやめると取り分はほぼ消える。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0" customWidth="1" min="3" max="3"/>
  </cols>
  <sheetData>
    <row r="1">
      <c r="A1" s="1" t="inlineStr">
        <is>
          <t>担当</t>
        </is>
      </c>
      <c r="B1" s="1" t="inlineStr">
        <is>
          <t>作業</t>
        </is>
      </c>
      <c r="C1" s="1" t="inlineStr">
        <is>
          <t>状態</t>
        </is>
      </c>
    </row>
    <row r="2">
      <c r="A2" s="3" t="inlineStr">
        <is>
          <t>あなた</t>
        </is>
      </c>
      <c r="B2" s="3" t="inlineStr">
        <is>
          <t>bitbank の二段階認証（SMS が届かない件をサポートに問い合わせ中）</t>
        </is>
      </c>
      <c r="C2" s="5" t="inlineStr">
        <is>
          <t>進行中</t>
        </is>
      </c>
    </row>
    <row r="3">
      <c r="A3" s="3" t="inlineStr">
        <is>
          <t>あなた</t>
        </is>
      </c>
      <c r="B3" s="3" t="inlineStr">
        <is>
          <t>bitbank サポートに登録住所を返信</t>
        </is>
      </c>
      <c r="C3" s="6" t="inlineStr">
        <is>
          <t>未</t>
        </is>
      </c>
    </row>
    <row r="4">
      <c r="A4" s="3" t="inlineStr">
        <is>
          <t>あなた</t>
        </is>
      </c>
      <c r="B4" s="3" t="inlineStr">
        <is>
          <t>AWS 予算（t2.micro 使用時間 740時間で EC2 停止）</t>
        </is>
      </c>
      <c r="C4" s="6" t="inlineStr">
        <is>
          <t>未</t>
        </is>
      </c>
    </row>
    <row r="5">
      <c r="A5" s="3" t="inlineStr">
        <is>
          <t>あなた</t>
        </is>
      </c>
      <c r="B5" s="3" t="inlineStr">
        <is>
          <t>EC2 のコード更新（自動録画した銘柄も毎朝検証する）</t>
        </is>
      </c>
      <c r="C5" s="6" t="inlineStr">
        <is>
          <t>未</t>
        </is>
      </c>
    </row>
    <row r="6">
      <c r="A6" s="3" t="inlineStr">
        <is>
          <t>あなた</t>
        </is>
      </c>
      <c r="B6" s="3" t="inlineStr">
        <is>
          <t>API キー作成：参照と取引のみ、出金オフ、IP 制限</t>
        </is>
      </c>
      <c r="C6" s="6" t="inlineStr">
        <is>
          <t>未</t>
        </is>
      </c>
    </row>
    <row r="7">
      <c r="A7" s="3" t="inlineStr">
        <is>
          <t>あなた</t>
        </is>
      </c>
      <c r="B7" s="3" t="inlineStr">
        <is>
          <t>EC2 の IP 固定（Elastic IP）</t>
        </is>
      </c>
      <c r="C7" s="6" t="inlineStr">
        <is>
          <t>未</t>
        </is>
      </c>
    </row>
    <row r="8">
      <c r="A8" s="3" t="inlineStr">
        <is>
          <t>Claude</t>
        </is>
      </c>
      <c r="B8" s="3" t="inlineStr">
        <is>
          <t>本番用注文プログラム（ポストオンリーの指値・取消・残高）</t>
        </is>
      </c>
      <c r="C8" s="6" t="inlineStr">
        <is>
          <t>未</t>
        </is>
      </c>
    </row>
    <row r="9">
      <c r="A9" s="3" t="inlineStr">
        <is>
          <t>Claude</t>
        </is>
      </c>
      <c r="B9" s="3" t="inlineStr">
        <is>
          <t>損失上限で止まったら手動で再開するように変更</t>
        </is>
      </c>
      <c r="C9" s="6" t="inlineStr">
        <is>
          <t>未</t>
        </is>
      </c>
    </row>
    <row r="10">
      <c r="A10" s="3" t="inlineStr">
        <is>
          <t>Claude</t>
        </is>
      </c>
      <c r="B10" s="3" t="inlineStr">
        <is>
          <t>注文を出したふりの記録モードで試運転</t>
        </is>
      </c>
      <c r="C10" s="6" t="inlineStr">
        <is>
          <t>未</t>
        </is>
      </c>
    </row>
    <row r="11">
      <c r="A11" s="3" t="inlineStr">
        <is>
          <t>両方</t>
        </is>
      </c>
      <c r="B11" s="3" t="inlineStr">
        <is>
          <t>本番の条件（10日中8日プラス・連続マイナスなし・紙上合計プラス）を満たす</t>
        </is>
      </c>
      <c r="C11" s="5" t="inlineStr">
        <is>
          <t>進行中</t>
        </is>
      </c>
    </row>
    <row r="12">
      <c r="A12" s="3" t="inlineStr">
        <is>
          <t>両方</t>
        </is>
      </c>
      <c r="B12" s="3" t="inlineStr">
        <is>
          <t>10万円・1回1万円で開始し、1週間は紙上トレードと並走して差を確認</t>
        </is>
      </c>
      <c r="C12" s="6" t="inlineStr">
        <is>
          <t>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2026-09-27T15:12:43Z</dcterms:created>
  <dcterms:modified xsi:type="dcterms:W3CDTF">2026-09-27T15:12:43Z</dcterms:modified>
</cp:coreProperties>
</file>