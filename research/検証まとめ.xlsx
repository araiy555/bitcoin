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手法の一覧" sheetId="1" state="visible" r:id="rId1"/>
    <sheet name="GMO後追い_確認" sheetId="2" state="visible" r:id="rId2"/>
    <sheet name="GMO後追い_探索" sheetId="3" state="visible" r:id="rId3"/>
    <sheet name="Binance_BTCの先行" sheetId="4" state="visible" r:id="rId4"/>
    <sheet name="手数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;-0.0;0.0"/>
    <numFmt numFmtId="165" formatCode="#,##0;-#,##0;-"/>
    <numFmt numFmtId="166" formatCode="+0.0;-0.0;-"/>
  </numFmts>
  <fonts count="5">
    <font>
      <name val="Calibri"/>
      <family val="2"/>
      <color theme="1"/>
      <sz val="11"/>
      <scheme val="minor"/>
    </font>
    <font>
      <name val="Arial"/>
      <i val="1"/>
      <color rgb="00595959"/>
    </font>
    <font>
      <name val="Arial"/>
      <b val="1"/>
    </font>
    <font>
      <name val="Arial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9" fontId="4" fillId="3" borderId="0" pivotButton="0" quotePrefix="0" xfId="0"/>
    <xf numFmtId="0" fontId="4" fillId="3" borderId="0" pivotButton="0" quotePrefix="0" xfId="0"/>
    <xf numFmtId="0" fontId="3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9" fontId="4" fillId="0" borderId="0" pivotButton="0" quotePrefix="0" xfId="0"/>
    <xf numFmtId="166" fontId="3" fillId="0" borderId="0" pivotButton="0" quotePrefix="0" xfId="0"/>
    <xf numFmtId="164" fontId="3" fillId="0" borderId="0" applyAlignment="1" pivotButton="0" quotePrefix="0" xfId="0">
      <alignment vertical="top" wrapText="1"/>
    </xf>
    <xf numFmtId="9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34" customWidth="1" min="4" max="4"/>
    <col width="44" customWidth="1" min="5" max="5"/>
    <col width="10" customWidth="1" min="6" max="6"/>
    <col width="40" customWidth="1" min="7" max="7"/>
  </cols>
  <sheetData>
    <row r="1">
      <c r="A1" s="1" t="inlineStr">
        <is>
          <t>ここまでに試したやり方と結果。数字はすべて実際の板・手数料込みの検証（1 は本番）。</t>
        </is>
      </c>
    </row>
    <row r="3">
      <c r="A3" s="2" t="inlineStr">
        <is>
          <t>#</t>
        </is>
      </c>
      <c r="B3" s="2" t="inlineStr">
        <is>
          <t>手法</t>
        </is>
      </c>
      <c r="C3" s="2" t="inlineStr">
        <is>
          <t>どこで</t>
        </is>
      </c>
      <c r="D3" s="2" t="inlineStr">
        <is>
          <t>やり方</t>
        </is>
      </c>
      <c r="E3" s="2" t="inlineStr">
        <is>
          <t>結果</t>
        </is>
      </c>
      <c r="F3" s="2" t="inlineStr">
        <is>
          <t>判定</t>
        </is>
      </c>
      <c r="G3" s="2" t="inlineStr">
        <is>
          <t>理由</t>
        </is>
      </c>
    </row>
    <row r="4">
      <c r="A4" s="3" t="n">
        <v>1</v>
      </c>
      <c r="B4" s="3" t="inlineStr">
        <is>
          <t>マーケットメイク（本番）</t>
        </is>
      </c>
      <c r="C4" s="3" t="inlineStr">
        <is>
          <t>bitbank ADA</t>
        </is>
      </c>
      <c r="D4" s="3" t="inlineStr">
        <is>
          <t>指値で買いと売りを両方置き、差をもらう</t>
        </is>
      </c>
      <c r="E4" s="3" t="inlineStr">
        <is>
          <t>本番で −422円、−330円</t>
        </is>
      </c>
      <c r="F4" s="3" t="inlineStr">
        <is>
          <t>負け</t>
        </is>
      </c>
      <c r="G4" s="3" t="inlineStr">
        <is>
          <t>取り消しが約1秒遅く、値段が動く直前の相手にだけ約定。約定が少なく在庫を持たされた</t>
        </is>
      </c>
    </row>
    <row r="5">
      <c r="A5" s="3" t="n">
        <v>2</v>
      </c>
      <c r="B5" s="3" t="inlineStr">
        <is>
          <t>約定したら GMO でヘッジ</t>
        </is>
      </c>
      <c r="C5" s="3" t="inlineStr">
        <is>
          <t>bitbank → GMO</t>
        </is>
      </c>
      <c r="D5" s="3" t="inlineStr">
        <is>
          <t>在庫の値動きを GMO で打ち消す</t>
        </is>
      </c>
      <c r="E5" s="3" t="inlineStr">
        <is>
          <t>ヘッジ代（GMO のスプレッド×2）が取り分を上回る</t>
        </is>
      </c>
      <c r="F5" s="3" t="inlineStr">
        <is>
          <t>不合格</t>
        </is>
      </c>
      <c r="G5" s="3" t="inlineStr">
        <is>
          <t>打ち消す代金が高い</t>
        </is>
      </c>
    </row>
    <row r="6">
      <c r="A6" s="3" t="n">
        <v>3</v>
      </c>
      <c r="B6" s="3" t="inlineStr">
        <is>
          <t>チャンスのときだけ指値</t>
        </is>
      </c>
      <c r="C6" s="3" t="inlineStr">
        <is>
          <t>bitbank</t>
        </is>
      </c>
      <c r="D6" s="3" t="inlineStr">
        <is>
          <t>有利そうな瞬間だけ板に置く</t>
        </is>
      </c>
      <c r="E6" s="3" t="inlineStr">
        <is>
          <t>指値で出られたのは 7〜17%。残りは成行で 12bps＋スプレッド</t>
        </is>
      </c>
      <c r="F6" s="3" t="inlineStr">
        <is>
          <t>不合格</t>
        </is>
      </c>
      <c r="G6" s="3" t="inlineStr">
        <is>
          <t>買えても売る相手が来ない</t>
        </is>
      </c>
    </row>
    <row r="7">
      <c r="A7" s="3" t="n">
        <v>4</v>
      </c>
      <c r="B7" s="3" t="inlineStr">
        <is>
          <t>値段の差（裁定）</t>
        </is>
      </c>
      <c r="C7" s="3" t="inlineStr">
        <is>
          <t>bitbank と GMO</t>
        </is>
      </c>
      <c r="D7" s="3" t="inlineStr">
        <is>
          <t>安い方で買い、高い方で売る</t>
        </is>
      </c>
      <c r="E7" s="3" t="inlineStr">
        <is>
          <t>差が手数料とスプレッドを超えることがほぼ無い</t>
        </is>
      </c>
      <c r="F7" s="3" t="inlineStr">
        <is>
          <t>不合格</t>
        </is>
      </c>
      <c r="G7" s="3" t="inlineStr">
        <is>
          <t>差が小さい</t>
        </is>
      </c>
    </row>
    <row r="8">
      <c r="A8" s="3" t="n">
        <v>5</v>
      </c>
      <c r="B8" s="3" t="inlineStr">
        <is>
          <t>後追い（成行）</t>
        </is>
      </c>
      <c r="C8" s="3" t="inlineStr">
        <is>
          <t>Binance → bitbank</t>
        </is>
      </c>
      <c r="D8" s="3" t="inlineStr">
        <is>
          <t>Binance が動いたら bitbank で同じ向きに</t>
        </is>
      </c>
      <c r="E8" s="3" t="inlineStr">
        <is>
          <t>同じ向き 69〜78%、+4〜6bps。往復手数料 24bps</t>
        </is>
      </c>
      <c r="F8" s="3" t="inlineStr">
        <is>
          <t>不合格</t>
        </is>
      </c>
      <c r="G8" s="3" t="inlineStr">
        <is>
          <t>手数料が高い</t>
        </is>
      </c>
    </row>
    <row r="9">
      <c r="A9" s="3" t="n">
        <v>6</v>
      </c>
      <c r="B9" s="3" t="inlineStr">
        <is>
          <t>BTC → 他のコインの遅れ（過去7日）</t>
        </is>
      </c>
      <c r="C9" s="3" t="inlineStr">
        <is>
          <t>Binance 先物の中</t>
        </is>
      </c>
      <c r="D9" s="3" t="inlineStr">
        <is>
          <t>BTC が動いた後、他のコインが何秒遅れるか</t>
        </is>
      </c>
      <c r="E9" s="3" t="inlineStr">
        <is>
          <t>小さめのコインは 0.5〜2秒で +3〜9bps。往復手数料 10bps</t>
        </is>
      </c>
      <c r="F9" s="3" t="inlineStr">
        <is>
          <t>不合格</t>
        </is>
      </c>
      <c r="G9" s="3" t="inlineStr">
        <is>
          <t>手数料が取り分と同じくらい。日本から使えない</t>
        </is>
      </c>
    </row>
    <row r="10">
      <c r="A10" s="3" t="n">
        <v>7</v>
      </c>
      <c r="B10" s="3" t="inlineStr">
        <is>
          <t>後追い（成行・探索）</t>
        </is>
      </c>
      <c r="C10" s="3" t="inlineStr">
        <is>
          <t>Bybit/Binance → GMO</t>
        </is>
      </c>
      <c r="D10" s="3" t="inlineStr">
        <is>
          <t>海外が動いたら GMO で同じ向きに（手数料0）</t>
        </is>
      </c>
      <c r="E10" s="3" t="inlineStr">
        <is>
          <t>XRP・ETH は小さくプラス。SOL・DOT はマイナス</t>
        </is>
      </c>
      <c r="F10" s="3" t="inlineStr">
        <is>
          <t>候補</t>
        </is>
      </c>
      <c r="G10" s="3" t="inlineStr">
        <is>
          <t>GMO も 1〜2秒遅れる。スプレッド約4bps</t>
        </is>
      </c>
    </row>
    <row r="11">
      <c r="A11" s="3" t="n">
        <v>8</v>
      </c>
      <c r="B11" s="3" t="inlineStr">
        <is>
          <t>後追い（条件を決めてから確認）</t>
        </is>
      </c>
      <c r="C11" s="3" t="inlineStr">
        <is>
          <t>Bybit/Binance → GMO</t>
        </is>
      </c>
      <c r="D11" s="3" t="inlineStr">
        <is>
          <t>しきい 5bps と 8bps、10秒持つ。10/6 09:31 UTC 以降のデータだけ</t>
        </is>
      </c>
      <c r="E11" s="3" t="inlineStr">
        <is>
          <t>XRP・ETH・BTC はプラス、BCH・LTC は大きくマイナス（シート「GMO後追い_確認」）</t>
        </is>
      </c>
      <c r="F11" s="3" t="inlineStr">
        <is>
          <t>確認中</t>
        </is>
      </c>
      <c r="G11" s="3" t="inlineStr">
        <is>
          <t>BCH・LTC は板が薄くスプレッド 20〜35bps</t>
        </is>
      </c>
    </row>
    <row r="12">
      <c r="A12" s="3" t="n">
        <v>9</v>
      </c>
      <c r="B12" s="3" t="inlineStr">
        <is>
          <t>フェア価格モデル</t>
        </is>
      </c>
      <c r="C12" s="3" t="inlineStr">
        <is>
          <t>Bybit/Binance/BTC/ETH → GMO</t>
        </is>
      </c>
      <c r="D12" s="3" t="inlineStr">
        <is>
          <t>いろいろな材料から GMO の本来の値段を出し、安ければ買う</t>
        </is>
      </c>
      <c r="E12" s="3" t="inlineStr">
        <is>
          <t>10/7 20:00（日本時間）に結果</t>
        </is>
      </c>
      <c r="F12" s="3" t="inlineStr">
        <is>
          <t>待ち</t>
        </is>
      </c>
      <c r="G12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12" customWidth="1" min="5" max="5"/>
    <col width="10" customWidth="1" min="6" max="6"/>
    <col width="7" customWidth="1" min="7" max="7"/>
    <col width="8" customWidth="1" min="8" max="8"/>
    <col width="16" customWidth="1" min="9" max="9"/>
    <col width="11" customWidth="1" min="10" max="10"/>
    <col width="11" customWidth="1" min="11" max="11"/>
  </cols>
  <sheetData>
    <row r="1">
      <c r="A1" s="1" t="inlineStr">
        <is>
          <t>条件を先に決めて、その後に録画したデータだけで確かめた結果（10/6 09:31 UTC 以降、途中経過）。</t>
        </is>
      </c>
    </row>
    <row r="3">
      <c r="A3" s="4" t="inlineStr">
        <is>
          <t>合格の勝率（しきい 5bps）</t>
        </is>
      </c>
      <c r="B3" s="5" t="n">
        <v>0.5</v>
      </c>
      <c r="C3" s="1" t="inlineStr">
        <is>
          <t>先に決めた合格の目安（ユーザーと決めた値）。ここを変えると判定が変わる</t>
        </is>
      </c>
    </row>
    <row r="4">
      <c r="A4" s="4" t="inlineStr">
        <is>
          <t>合格の勝率（しきい 8bps）</t>
        </is>
      </c>
      <c r="B4" s="5" t="n">
        <v>0.55</v>
      </c>
    </row>
    <row r="5">
      <c r="A5" s="4" t="inlineStr">
        <is>
          <t>最低の取引回数</t>
        </is>
      </c>
      <c r="B5" s="6" t="n">
        <v>20</v>
      </c>
    </row>
    <row r="7">
      <c r="A7" s="2" t="inlineStr">
        <is>
          <t>銘柄</t>
        </is>
      </c>
      <c r="B7" s="2" t="inlineStr">
        <is>
          <t>先行</t>
        </is>
      </c>
      <c r="C7" s="2" t="inlineStr">
        <is>
          <t>しきい bps</t>
        </is>
      </c>
      <c r="D7" s="2" t="inlineStr">
        <is>
          <t>持つ秒</t>
        </is>
      </c>
      <c r="E7" s="2" t="inlineStr">
        <is>
          <t>1回あたり bps</t>
        </is>
      </c>
      <c r="F7" s="2" t="inlineStr">
        <is>
          <t>合計 円</t>
        </is>
      </c>
      <c r="G7" s="2" t="inlineStr">
        <is>
          <t>回数</t>
        </is>
      </c>
      <c r="H7" s="2" t="inlineStr">
        <is>
          <t>勝率</t>
        </is>
      </c>
      <c r="I7" s="2" t="inlineStr">
        <is>
          <t>GMO の値段の動き bps（手数料前）</t>
        </is>
      </c>
      <c r="J7" s="2" t="inlineStr">
        <is>
          <t>1回あたり 円</t>
        </is>
      </c>
      <c r="K7" s="2" t="inlineStr">
        <is>
          <t>判定</t>
        </is>
      </c>
    </row>
    <row r="8">
      <c r="A8" s="7" t="inlineStr">
        <is>
          <t>BCH_JPY</t>
        </is>
      </c>
      <c r="B8" s="7" t="inlineStr">
        <is>
          <t>bybit</t>
        </is>
      </c>
      <c r="C8" s="7" t="n">
        <v>5</v>
      </c>
      <c r="D8" s="7" t="n">
        <v>10</v>
      </c>
      <c r="E8" s="8" t="n">
        <v>-15.4</v>
      </c>
      <c r="F8" s="9" t="n">
        <v>-968</v>
      </c>
      <c r="G8" s="10" t="n">
        <v>71</v>
      </c>
      <c r="H8" s="11" t="n">
        <v>0.03</v>
      </c>
      <c r="I8" s="8" t="n">
        <v>3.9</v>
      </c>
      <c r="J8" s="12">
        <f>IF(G8=0,0,F8/G8)</f>
        <v/>
      </c>
      <c r="K8" s="7">
        <f>IF(G8&lt;$B$5,"回数不足",IF(AND(E8&gt;0,H8&gt;=IF(C8=5,$B$3,$B$4)),"満たす","不合格"))</f>
        <v/>
      </c>
    </row>
    <row r="9">
      <c r="A9" s="7" t="inlineStr">
        <is>
          <t>BCH_JPY</t>
        </is>
      </c>
      <c r="B9" s="7" t="inlineStr">
        <is>
          <t>bybit</t>
        </is>
      </c>
      <c r="C9" s="7" t="n">
        <v>8</v>
      </c>
      <c r="D9" s="7" t="n">
        <v>10</v>
      </c>
      <c r="E9" s="8" t="n">
        <v>-15.3</v>
      </c>
      <c r="F9" s="9" t="n">
        <v>-152</v>
      </c>
      <c r="G9" s="10" t="n">
        <v>12</v>
      </c>
      <c r="H9" s="11" t="n">
        <v>0.08</v>
      </c>
      <c r="I9" s="8" t="n">
        <v>5.2</v>
      </c>
      <c r="J9" s="12">
        <f>IF(G9=0,0,F9/G9)</f>
        <v/>
      </c>
      <c r="K9" s="7">
        <f>IF(G9&lt;$B$5,"回数不足",IF(AND(E9&gt;0,H9&gt;=IF(C9=5,$B$3,$B$4)),"満たす","不合格"))</f>
        <v/>
      </c>
    </row>
    <row r="10">
      <c r="A10" s="7" t="inlineStr">
        <is>
          <t>BCH_JPY</t>
        </is>
      </c>
      <c r="B10" s="7" t="inlineStr">
        <is>
          <t>binance</t>
        </is>
      </c>
      <c r="C10" s="7" t="n">
        <v>5</v>
      </c>
      <c r="D10" s="7" t="n">
        <v>10</v>
      </c>
      <c r="E10" s="8" t="n">
        <v>-12.8</v>
      </c>
      <c r="F10" s="9" t="n">
        <v>-364</v>
      </c>
      <c r="G10" s="10" t="n">
        <v>33</v>
      </c>
      <c r="H10" s="11" t="n">
        <v>0.06</v>
      </c>
      <c r="I10" s="8" t="n">
        <v>5.5</v>
      </c>
      <c r="J10" s="12">
        <f>IF(G10=0,0,F10/G10)</f>
        <v/>
      </c>
      <c r="K10" s="7">
        <f>IF(G10&lt;$B$5,"回数不足",IF(AND(E10&gt;0,H10&gt;=IF(C10=5,$B$3,$B$4)),"満たす","不合格"))</f>
        <v/>
      </c>
    </row>
    <row r="11">
      <c r="A11" s="7" t="inlineStr">
        <is>
          <t>BCH_JPY</t>
        </is>
      </c>
      <c r="B11" s="7" t="inlineStr">
        <is>
          <t>binance</t>
        </is>
      </c>
      <c r="C11" s="7" t="n">
        <v>8</v>
      </c>
      <c r="D11" s="7" t="n">
        <v>10</v>
      </c>
      <c r="E11" s="8" t="n">
        <v>-12.1</v>
      </c>
      <c r="F11" s="9" t="n">
        <v>-115</v>
      </c>
      <c r="G11" s="10" t="n">
        <v>12</v>
      </c>
      <c r="H11" s="11" t="n">
        <v>0.08</v>
      </c>
      <c r="I11" s="8" t="n">
        <v>8.1</v>
      </c>
      <c r="J11" s="12">
        <f>IF(G11=0,0,F11/G11)</f>
        <v/>
      </c>
      <c r="K11" s="7">
        <f>IF(G11&lt;$B$5,"回数不足",IF(AND(E11&gt;0,H11&gt;=IF(C11=5,$B$3,$B$4)),"満たす","不合格"))</f>
        <v/>
      </c>
    </row>
    <row r="12">
      <c r="A12" s="7" t="inlineStr">
        <is>
          <t>BTC_JPY</t>
        </is>
      </c>
      <c r="B12" s="7" t="inlineStr">
        <is>
          <t>bybit</t>
        </is>
      </c>
      <c r="C12" s="7" t="n">
        <v>5</v>
      </c>
      <c r="D12" s="7" t="n">
        <v>10</v>
      </c>
      <c r="E12" s="8" t="n">
        <v>3.9</v>
      </c>
      <c r="F12" s="9" t="n">
        <v>80</v>
      </c>
      <c r="G12" s="10" t="n">
        <v>15</v>
      </c>
      <c r="H12" s="11" t="n">
        <v>0.87</v>
      </c>
      <c r="I12" s="8" t="n">
        <v>5.8</v>
      </c>
      <c r="J12" s="12">
        <f>IF(G12=0,0,F12/G12)</f>
        <v/>
      </c>
      <c r="K12" s="7">
        <f>IF(G12&lt;$B$5,"回数不足",IF(AND(E12&gt;0,H12&gt;=IF(C12=5,$B$3,$B$4)),"満たす","不合格"))</f>
        <v/>
      </c>
    </row>
    <row r="13">
      <c r="A13" s="7" t="inlineStr">
        <is>
          <t>BTC_JPY</t>
        </is>
      </c>
      <c r="B13" s="7" t="inlineStr">
        <is>
          <t>bybit</t>
        </is>
      </c>
      <c r="C13" s="7" t="n">
        <v>8</v>
      </c>
      <c r="D13" s="7" t="n">
        <v>10</v>
      </c>
      <c r="E13" s="8" t="n">
        <v>10.8</v>
      </c>
      <c r="F13" s="9" t="n">
        <v>44</v>
      </c>
      <c r="G13" s="10" t="n">
        <v>3</v>
      </c>
      <c r="H13" s="11" t="n">
        <v>1</v>
      </c>
      <c r="I13" s="8" t="n">
        <v>12.1</v>
      </c>
      <c r="J13" s="12">
        <f>IF(G13=0,0,F13/G13)</f>
        <v/>
      </c>
      <c r="K13" s="7">
        <f>IF(G13&lt;$B$5,"回数不足",IF(AND(E13&gt;0,H13&gt;=IF(C13=5,$B$3,$B$4)),"満たす","不合格"))</f>
        <v/>
      </c>
    </row>
    <row r="14">
      <c r="A14" s="7" t="inlineStr">
        <is>
          <t>BTC_JPY</t>
        </is>
      </c>
      <c r="B14" s="7" t="inlineStr">
        <is>
          <t>binance</t>
        </is>
      </c>
      <c r="C14" s="7" t="n">
        <v>5</v>
      </c>
      <c r="D14" s="7" t="n">
        <v>10</v>
      </c>
      <c r="E14" s="8" t="n">
        <v>3.2</v>
      </c>
      <c r="F14" s="9" t="n">
        <v>43</v>
      </c>
      <c r="G14" s="10" t="n">
        <v>10</v>
      </c>
      <c r="H14" s="11" t="n">
        <v>0.8</v>
      </c>
      <c r="I14" s="8" t="n">
        <v>5.5</v>
      </c>
      <c r="J14" s="12">
        <f>IF(G14=0,0,F14/G14)</f>
        <v/>
      </c>
      <c r="K14" s="7">
        <f>IF(G14&lt;$B$5,"回数不足",IF(AND(E14&gt;0,H14&gt;=IF(C14=5,$B$3,$B$4)),"満たす","不合格"))</f>
        <v/>
      </c>
    </row>
    <row r="15">
      <c r="A15" s="7" t="inlineStr">
        <is>
          <t>BTC_JPY</t>
        </is>
      </c>
      <c r="B15" s="7" t="inlineStr">
        <is>
          <t>binance</t>
        </is>
      </c>
      <c r="C15" s="7" t="n">
        <v>8</v>
      </c>
      <c r="D15" s="7" t="n">
        <v>10</v>
      </c>
      <c r="E15" s="8" t="n">
        <v>5.9</v>
      </c>
      <c r="F15" s="9" t="n">
        <v>32</v>
      </c>
      <c r="G15" s="10" t="n">
        <v>4</v>
      </c>
      <c r="H15" s="11" t="n">
        <v>0.75</v>
      </c>
      <c r="I15" s="8" t="n">
        <v>8</v>
      </c>
      <c r="J15" s="12">
        <f>IF(G15=0,0,F15/G15)</f>
        <v/>
      </c>
      <c r="K15" s="7">
        <f>IF(G15&lt;$B$5,"回数不足",IF(AND(E15&gt;0,H15&gt;=IF(C15=5,$B$3,$B$4)),"満たす","不合格"))</f>
        <v/>
      </c>
    </row>
    <row r="16">
      <c r="A16" s="7" t="inlineStr">
        <is>
          <t>ETH_JPY</t>
        </is>
      </c>
      <c r="B16" s="7" t="inlineStr">
        <is>
          <t>bybit</t>
        </is>
      </c>
      <c r="C16" s="7" t="n">
        <v>5</v>
      </c>
      <c r="D16" s="7" t="n">
        <v>10</v>
      </c>
      <c r="E16" s="8" t="n">
        <v>2</v>
      </c>
      <c r="F16" s="9" t="n">
        <v>26</v>
      </c>
      <c r="G16" s="10" t="n">
        <v>15</v>
      </c>
      <c r="H16" s="11" t="n">
        <v>0.6</v>
      </c>
      <c r="I16" s="8" t="n">
        <v>7.1</v>
      </c>
      <c r="J16" s="12">
        <f>IF(G16=0,0,F16/G16)</f>
        <v/>
      </c>
      <c r="K16" s="7">
        <f>IF(G16&lt;$B$5,"回数不足",IF(AND(E16&gt;0,H16&gt;=IF(C16=5,$B$3,$B$4)),"満たす","不合格"))</f>
        <v/>
      </c>
    </row>
    <row r="17">
      <c r="A17" s="7" t="inlineStr">
        <is>
          <t>ETH_JPY</t>
        </is>
      </c>
      <c r="B17" s="7" t="inlineStr">
        <is>
          <t>bybit</t>
        </is>
      </c>
      <c r="C17" s="7" t="n">
        <v>8</v>
      </c>
      <c r="D17" s="7" t="n">
        <v>10</v>
      </c>
      <c r="E17" s="8" t="n">
        <v>6.3</v>
      </c>
      <c r="F17" s="9" t="n">
        <v>27</v>
      </c>
      <c r="G17" s="10" t="n">
        <v>5</v>
      </c>
      <c r="H17" s="11" t="n">
        <v>0.8</v>
      </c>
      <c r="I17" s="8" t="n">
        <v>11.6</v>
      </c>
      <c r="J17" s="12">
        <f>IF(G17=0,0,F17/G17)</f>
        <v/>
      </c>
      <c r="K17" s="7">
        <f>IF(G17&lt;$B$5,"回数不足",IF(AND(E17&gt;0,H17&gt;=IF(C17=5,$B$3,$B$4)),"満たす","不合格"))</f>
        <v/>
      </c>
    </row>
    <row r="18">
      <c r="A18" s="7" t="inlineStr">
        <is>
          <t>ETH_JPY</t>
        </is>
      </c>
      <c r="B18" s="7" t="inlineStr">
        <is>
          <t>binance</t>
        </is>
      </c>
      <c r="C18" s="7" t="n">
        <v>5</v>
      </c>
      <c r="D18" s="7" t="n">
        <v>10</v>
      </c>
      <c r="E18" s="8" t="n">
        <v>2.2</v>
      </c>
      <c r="F18" s="9" t="n">
        <v>23</v>
      </c>
      <c r="G18" s="10" t="n">
        <v>12</v>
      </c>
      <c r="H18" s="11" t="n">
        <v>0.58</v>
      </c>
      <c r="I18" s="8" t="n">
        <v>7.3</v>
      </c>
      <c r="J18" s="12">
        <f>IF(G18=0,0,F18/G18)</f>
        <v/>
      </c>
      <c r="K18" s="7">
        <f>IF(G18&lt;$B$5,"回数不足",IF(AND(E18&gt;0,H18&gt;=IF(C18=5,$B$3,$B$4)),"満たす","不合格"))</f>
        <v/>
      </c>
    </row>
    <row r="19">
      <c r="A19" s="7" t="inlineStr">
        <is>
          <t>ETH_JPY</t>
        </is>
      </c>
      <c r="B19" s="7" t="inlineStr">
        <is>
          <t>binance</t>
        </is>
      </c>
      <c r="C19" s="7" t="n">
        <v>8</v>
      </c>
      <c r="D19" s="7" t="n">
        <v>10</v>
      </c>
      <c r="E19" s="8" t="n">
        <v>11.9</v>
      </c>
      <c r="F19" s="9" t="n">
        <v>20</v>
      </c>
      <c r="G19" s="10" t="n">
        <v>2</v>
      </c>
      <c r="H19" s="11" t="n">
        <v>1</v>
      </c>
      <c r="I19" s="8" t="n">
        <v>16.9</v>
      </c>
      <c r="J19" s="12">
        <f>IF(G19=0,0,F19/G19)</f>
        <v/>
      </c>
      <c r="K19" s="7">
        <f>IF(G19&lt;$B$5,"回数不足",IF(AND(E19&gt;0,H19&gt;=IF(C19=5,$B$3,$B$4)),"満たす","不合格"))</f>
        <v/>
      </c>
    </row>
    <row r="20">
      <c r="A20" s="7" t="inlineStr">
        <is>
          <t>LTC_JPY</t>
        </is>
      </c>
      <c r="B20" s="7" t="inlineStr">
        <is>
          <t>bybit</t>
        </is>
      </c>
      <c r="C20" s="7" t="n">
        <v>5</v>
      </c>
      <c r="D20" s="7" t="n">
        <v>10</v>
      </c>
      <c r="E20" s="8" t="n">
        <v>-28.1</v>
      </c>
      <c r="F20" s="9" t="n">
        <v>-3318</v>
      </c>
      <c r="G20" s="10" t="n">
        <v>107</v>
      </c>
      <c r="H20" s="11" t="n">
        <v>0</v>
      </c>
      <c r="I20" s="8" t="n">
        <v>4.8</v>
      </c>
      <c r="J20" s="12">
        <f>IF(G20=0,0,F20/G20)</f>
        <v/>
      </c>
      <c r="K20" s="7">
        <f>IF(G20&lt;$B$5,"回数不足",IF(AND(E20&gt;0,H20&gt;=IF(C20=5,$B$3,$B$4)),"満たす","不合格"))</f>
        <v/>
      </c>
    </row>
    <row r="21">
      <c r="A21" s="7" t="inlineStr">
        <is>
          <t>LTC_JPY</t>
        </is>
      </c>
      <c r="B21" s="7" t="inlineStr">
        <is>
          <t>bybit</t>
        </is>
      </c>
      <c r="C21" s="7" t="n">
        <v>8</v>
      </c>
      <c r="D21" s="7" t="n">
        <v>10</v>
      </c>
      <c r="E21" s="8" t="n">
        <v>-32.6</v>
      </c>
      <c r="F21" s="9" t="n">
        <v>-1116</v>
      </c>
      <c r="G21" s="10" t="n">
        <v>31</v>
      </c>
      <c r="H21" s="11" t="n">
        <v>0</v>
      </c>
      <c r="I21" s="8" t="n">
        <v>6.1</v>
      </c>
      <c r="J21" s="12">
        <f>IF(G21=0,0,F21/G21)</f>
        <v/>
      </c>
      <c r="K21" s="7">
        <f>IF(G21&lt;$B$5,"回数不足",IF(AND(E21&gt;0,H21&gt;=IF(C21=5,$B$3,$B$4)),"満たす","不合格"))</f>
        <v/>
      </c>
    </row>
    <row r="22">
      <c r="A22" s="7" t="inlineStr">
        <is>
          <t>LTC_JPY</t>
        </is>
      </c>
      <c r="B22" s="7" t="inlineStr">
        <is>
          <t>binance</t>
        </is>
      </c>
      <c r="C22" s="7" t="n">
        <v>5</v>
      </c>
      <c r="D22" s="7" t="n">
        <v>10</v>
      </c>
      <c r="E22" s="8" t="n">
        <v>-27.5</v>
      </c>
      <c r="F22" s="9" t="n">
        <v>-3571</v>
      </c>
      <c r="G22" s="10" t="n">
        <v>118</v>
      </c>
      <c r="H22" s="11" t="n">
        <v>0</v>
      </c>
      <c r="I22" s="8" t="n">
        <v>4.9</v>
      </c>
      <c r="J22" s="12">
        <f>IF(G22=0,0,F22/G22)</f>
        <v/>
      </c>
      <c r="K22" s="7">
        <f>IF(G22&lt;$B$5,"回数不足",IF(AND(E22&gt;0,H22&gt;=IF(C22=5,$B$3,$B$4)),"満たす","不合格"))</f>
        <v/>
      </c>
    </row>
    <row r="23">
      <c r="A23" s="7" t="inlineStr">
        <is>
          <t>LTC_JPY</t>
        </is>
      </c>
      <c r="B23" s="7" t="inlineStr">
        <is>
          <t>binance</t>
        </is>
      </c>
      <c r="C23" s="7" t="n">
        <v>8</v>
      </c>
      <c r="D23" s="7" t="n">
        <v>10</v>
      </c>
      <c r="E23" s="8" t="n">
        <v>-28.7</v>
      </c>
      <c r="F23" s="9" t="n">
        <v>-853</v>
      </c>
      <c r="G23" s="10" t="n">
        <v>27</v>
      </c>
      <c r="H23" s="11" t="n">
        <v>0</v>
      </c>
      <c r="I23" s="8" t="n">
        <v>6.6</v>
      </c>
      <c r="J23" s="12">
        <f>IF(G23=0,0,F23/G23)</f>
        <v/>
      </c>
      <c r="K23" s="7">
        <f>IF(G23&lt;$B$5,"回数不足",IF(AND(E23&gt;0,H23&gt;=IF(C23=5,$B$3,$B$4)),"満たす","不合格"))</f>
        <v/>
      </c>
    </row>
    <row r="24">
      <c r="A24" s="7" t="inlineStr">
        <is>
          <t>XRP_JPY</t>
        </is>
      </c>
      <c r="B24" s="7" t="inlineStr">
        <is>
          <t>bybit</t>
        </is>
      </c>
      <c r="C24" s="7" t="n">
        <v>5</v>
      </c>
      <c r="D24" s="7" t="n">
        <v>10</v>
      </c>
      <c r="E24" s="8" t="n">
        <v>2.8</v>
      </c>
      <c r="F24" s="9" t="n">
        <v>54</v>
      </c>
      <c r="G24" s="10" t="n">
        <v>20</v>
      </c>
      <c r="H24" s="11" t="n">
        <v>0.55</v>
      </c>
      <c r="I24" s="8" t="n">
        <v>6.4</v>
      </c>
      <c r="J24" s="12">
        <f>IF(G24=0,0,F24/G24)</f>
        <v/>
      </c>
      <c r="K24" s="7">
        <f>IF(G24&lt;$B$5,"回数不足",IF(AND(E24&gt;0,H24&gt;=IF(C24=5,$B$3,$B$4)),"満たす","不合格"))</f>
        <v/>
      </c>
    </row>
    <row r="25">
      <c r="A25" s="7" t="inlineStr">
        <is>
          <t>XRP_JPY</t>
        </is>
      </c>
      <c r="B25" s="7" t="inlineStr">
        <is>
          <t>bybit</t>
        </is>
      </c>
      <c r="C25" s="7" t="n">
        <v>8</v>
      </c>
      <c r="D25" s="7" t="n">
        <v>10</v>
      </c>
      <c r="E25" s="8" t="n">
        <v>4.2</v>
      </c>
      <c r="F25" s="9" t="n">
        <v>28</v>
      </c>
      <c r="G25" s="10" t="n">
        <v>7</v>
      </c>
      <c r="H25" s="11" t="n">
        <v>0.71</v>
      </c>
      <c r="I25" s="8" t="n">
        <v>8.300000000000001</v>
      </c>
      <c r="J25" s="12">
        <f>IF(G25=0,0,F25/G25)</f>
        <v/>
      </c>
      <c r="K25" s="7">
        <f>IF(G25&lt;$B$5,"回数不足",IF(AND(E25&gt;0,H25&gt;=IF(C25=5,$B$3,$B$4)),"満たす","不合格"))</f>
        <v/>
      </c>
    </row>
    <row r="26">
      <c r="A26" s="7" t="inlineStr">
        <is>
          <t>XRP_JPY</t>
        </is>
      </c>
      <c r="B26" s="7" t="inlineStr">
        <is>
          <t>binance</t>
        </is>
      </c>
      <c r="C26" s="7" t="n">
        <v>5</v>
      </c>
      <c r="D26" s="7" t="n">
        <v>10</v>
      </c>
      <c r="E26" s="8" t="n">
        <v>3.5</v>
      </c>
      <c r="F26" s="9" t="n">
        <v>77</v>
      </c>
      <c r="G26" s="10" t="n">
        <v>23</v>
      </c>
      <c r="H26" s="11" t="n">
        <v>0.65</v>
      </c>
      <c r="I26" s="8" t="n">
        <v>6.8</v>
      </c>
      <c r="J26" s="12">
        <f>IF(G26=0,0,F26/G26)</f>
        <v/>
      </c>
      <c r="K26" s="7">
        <f>IF(G26&lt;$B$5,"回数不足",IF(AND(E26&gt;0,H26&gt;=IF(C26=5,$B$3,$B$4)),"満たす","不合格"))</f>
        <v/>
      </c>
    </row>
    <row r="27">
      <c r="A27" s="7" t="inlineStr">
        <is>
          <t>XRP_JPY</t>
        </is>
      </c>
      <c r="B27" s="7" t="inlineStr">
        <is>
          <t>binance</t>
        </is>
      </c>
      <c r="C27" s="7" t="n">
        <v>8</v>
      </c>
      <c r="D27" s="7" t="n">
        <v>10</v>
      </c>
      <c r="E27" s="8" t="n">
        <v>6</v>
      </c>
      <c r="F27" s="9" t="n">
        <v>51</v>
      </c>
      <c r="G27" s="10" t="n">
        <v>9</v>
      </c>
      <c r="H27" s="11" t="n">
        <v>0.78</v>
      </c>
      <c r="I27" s="8" t="n">
        <v>8.300000000000001</v>
      </c>
      <c r="J27" s="12">
        <f>IF(G27=0,0,F27/G27)</f>
        <v/>
      </c>
      <c r="K27" s="7">
        <f>IF(G27&lt;$B$5,"回数不足",IF(AND(E27&gt;0,H27&gt;=IF(C27=5,$B$3,$B$4)),"満たす","不合格"))</f>
        <v/>
      </c>
    </row>
    <row r="29">
      <c r="A29" s="1" t="inlineStr">
        <is>
          <t>出典: Slack の毎時の途中経過（leadlag --thresholds 5,8 --holds 10 --since 2026-10-06T09:31）。注文額 1万円（BTC は最小注文）。</t>
        </is>
      </c>
    </row>
    <row r="30">
      <c r="A30" s="1" t="inlineStr">
        <is>
          <t>Bybit と Binance の行は、ほぼ同じ値動きを数えている（別々の取引ではない）。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条件を選ぶ前の探索（10/5〜10/6 の録画すべて）。損益は入ってからの時間、値段の動きは合図からの時間。単位 bps。一番良いしきいを選んだ数字なので、これだけでは信用できない。</t>
        </is>
      </c>
    </row>
    <row r="3">
      <c r="A3" s="2" t="inlineStr">
        <is>
          <t>銘柄</t>
        </is>
      </c>
      <c r="B3" s="2" t="inlineStr">
        <is>
          <t>先行</t>
        </is>
      </c>
      <c r="C3" s="2" t="inlineStr">
        <is>
          <t>しきい bps</t>
        </is>
      </c>
      <c r="D3" s="2" t="inlineStr">
        <is>
          <t>何の数字</t>
        </is>
      </c>
      <c r="E3" s="2" t="inlineStr">
        <is>
          <t>0.1秒</t>
        </is>
      </c>
      <c r="F3" s="2" t="inlineStr">
        <is>
          <t>0.3秒</t>
        </is>
      </c>
      <c r="G3" s="2" t="inlineStr">
        <is>
          <t>0.5秒</t>
        </is>
      </c>
      <c r="H3" s="2" t="inlineStr">
        <is>
          <t>1秒</t>
        </is>
      </c>
      <c r="I3" s="2" t="inlineStr">
        <is>
          <t>2秒</t>
        </is>
      </c>
      <c r="J3" s="2" t="inlineStr">
        <is>
          <t>5秒</t>
        </is>
      </c>
      <c r="K3" s="2" t="inlineStr">
        <is>
          <t>10秒</t>
        </is>
      </c>
      <c r="L3" s="2" t="inlineStr">
        <is>
          <t>30秒</t>
        </is>
      </c>
      <c r="M3" s="2" t="inlineStr">
        <is>
          <t>60秒</t>
        </is>
      </c>
    </row>
    <row r="4">
      <c r="A4" s="3" t="inlineStr">
        <is>
          <t>XRP_JPY</t>
        </is>
      </c>
      <c r="B4" s="3" t="inlineStr">
        <is>
          <t>bybit</t>
        </is>
      </c>
      <c r="C4" s="3" t="n">
        <v>5</v>
      </c>
      <c r="D4" s="3" t="inlineStr">
        <is>
          <t>損益</t>
        </is>
      </c>
      <c r="E4" s="13" t="n">
        <v>-3.7</v>
      </c>
      <c r="F4" s="13" t="n">
        <v>-3.1</v>
      </c>
      <c r="G4" s="13" t="n">
        <v>-2.1</v>
      </c>
      <c r="H4" s="13" t="n">
        <v>-0.6</v>
      </c>
      <c r="I4" s="13" t="n">
        <v>-0.4</v>
      </c>
      <c r="J4" s="13" t="n">
        <v>-0.1</v>
      </c>
      <c r="K4" s="13" t="n">
        <v>1.1</v>
      </c>
      <c r="L4" s="13" t="n">
        <v>2</v>
      </c>
      <c r="M4" s="13" t="n">
        <v>2.7</v>
      </c>
    </row>
    <row r="5">
      <c r="A5" s="3" t="inlineStr">
        <is>
          <t>XRP_JPY</t>
        </is>
      </c>
      <c r="B5" s="3" t="inlineStr">
        <is>
          <t>bybit</t>
        </is>
      </c>
      <c r="C5" s="3" t="n">
        <v>5</v>
      </c>
      <c r="D5" s="3" t="inlineStr">
        <is>
          <t>GMO の値段の動き</t>
        </is>
      </c>
      <c r="E5" s="13" t="n">
        <v>0.4</v>
      </c>
      <c r="F5" s="13" t="n">
        <v>0.7</v>
      </c>
      <c r="G5" s="13" t="n">
        <v>1.3</v>
      </c>
      <c r="H5" s="13" t="n">
        <v>3.2</v>
      </c>
      <c r="I5" s="13" t="n">
        <v>4</v>
      </c>
      <c r="J5" s="13" t="n">
        <v>4.3</v>
      </c>
      <c r="K5" s="13" t="n">
        <v>5.6</v>
      </c>
      <c r="L5" s="13" t="n">
        <v>6.7</v>
      </c>
      <c r="M5" s="13" t="n">
        <v>7.5</v>
      </c>
    </row>
    <row r="6">
      <c r="A6" s="3" t="inlineStr">
        <is>
          <t>XRP_JPY</t>
        </is>
      </c>
      <c r="B6" s="3" t="inlineStr">
        <is>
          <t>binance</t>
        </is>
      </c>
      <c r="C6" s="3" t="n">
        <v>5</v>
      </c>
      <c r="D6" s="3" t="inlineStr">
        <is>
          <t>損益</t>
        </is>
      </c>
      <c r="E6" s="13" t="n">
        <v>-3.4</v>
      </c>
      <c r="F6" s="13" t="n">
        <v>-2.7</v>
      </c>
      <c r="G6" s="13" t="n">
        <v>-1.8</v>
      </c>
      <c r="H6" s="13" t="n">
        <v>-0.3</v>
      </c>
      <c r="I6" s="13" t="n">
        <v>0.2</v>
      </c>
      <c r="J6" s="13" t="n">
        <v>0.7</v>
      </c>
      <c r="K6" s="13" t="n">
        <v>2.6</v>
      </c>
      <c r="L6" s="13" t="n">
        <v>2.2</v>
      </c>
      <c r="M6" s="13" t="n">
        <v>2.8</v>
      </c>
    </row>
    <row r="7">
      <c r="A7" s="3" t="inlineStr">
        <is>
          <t>XRP_JPY</t>
        </is>
      </c>
      <c r="B7" s="3" t="inlineStr">
        <is>
          <t>binance</t>
        </is>
      </c>
      <c r="C7" s="3" t="n">
        <v>5</v>
      </c>
      <c r="D7" s="3" t="inlineStr">
        <is>
          <t>GMO の値段の動き</t>
        </is>
      </c>
      <c r="E7" s="13" t="n">
        <v>0.3</v>
      </c>
      <c r="F7" s="13" t="n">
        <v>0.9</v>
      </c>
      <c r="G7" s="13" t="n">
        <v>1.5</v>
      </c>
      <c r="H7" s="13" t="n">
        <v>3.4</v>
      </c>
      <c r="I7" s="13" t="n">
        <v>4.7</v>
      </c>
      <c r="J7" s="13" t="n">
        <v>5.2</v>
      </c>
      <c r="K7" s="13" t="n">
        <v>7.2</v>
      </c>
      <c r="L7" s="13" t="n">
        <v>6.7</v>
      </c>
      <c r="M7" s="13" t="n">
        <v>7.4</v>
      </c>
    </row>
    <row r="8">
      <c r="A8" s="3" t="inlineStr">
        <is>
          <t>ETH_JPY</t>
        </is>
      </c>
      <c r="B8" s="3" t="inlineStr">
        <is>
          <t>bybit</t>
        </is>
      </c>
      <c r="C8" s="3" t="n">
        <v>5</v>
      </c>
      <c r="D8" s="3" t="inlineStr">
        <is>
          <t>損益</t>
        </is>
      </c>
      <c r="E8" s="13" t="n">
        <v>-4.4</v>
      </c>
      <c r="F8" s="13" t="n">
        <v>-3.6</v>
      </c>
      <c r="G8" s="13" t="n">
        <v>-2.8</v>
      </c>
      <c r="H8" s="13" t="n">
        <v>0.2</v>
      </c>
      <c r="I8" s="13" t="n">
        <v>0.8</v>
      </c>
      <c r="J8" s="13" t="n">
        <v>0.6</v>
      </c>
      <c r="K8" s="13" t="n">
        <v>0.8</v>
      </c>
      <c r="L8" s="13" t="n">
        <v>2.1</v>
      </c>
      <c r="M8" s="13" t="n">
        <v>2.3</v>
      </c>
    </row>
    <row r="9">
      <c r="A9" s="3" t="inlineStr">
        <is>
          <t>ETH_JPY</t>
        </is>
      </c>
      <c r="B9" s="3" t="inlineStr">
        <is>
          <t>bybit</t>
        </is>
      </c>
      <c r="C9" s="3" t="n">
        <v>5</v>
      </c>
      <c r="D9" s="3" t="inlineStr">
        <is>
          <t>GMO の値段の動き</t>
        </is>
      </c>
      <c r="E9" s="13" t="n">
        <v>0.3</v>
      </c>
      <c r="F9" s="13" t="n">
        <v>0.7</v>
      </c>
      <c r="G9" s="13" t="n">
        <v>1.4</v>
      </c>
      <c r="H9" s="13" t="n">
        <v>5</v>
      </c>
      <c r="I9" s="13" t="n">
        <v>5.8</v>
      </c>
      <c r="J9" s="13" t="n">
        <v>5.8</v>
      </c>
      <c r="K9" s="13" t="n">
        <v>6.1</v>
      </c>
      <c r="L9" s="13" t="n">
        <v>7.2</v>
      </c>
      <c r="M9" s="13" t="n">
        <v>7.6</v>
      </c>
    </row>
    <row r="10">
      <c r="A10" s="3" t="inlineStr">
        <is>
          <t>ETH_JPY</t>
        </is>
      </c>
      <c r="B10" s="3" t="inlineStr">
        <is>
          <t>binance</t>
        </is>
      </c>
      <c r="C10" s="3" t="n">
        <v>5</v>
      </c>
      <c r="D10" s="3" t="inlineStr">
        <is>
          <t>損益</t>
        </is>
      </c>
      <c r="E10" s="13" t="n">
        <v>-4.1</v>
      </c>
      <c r="F10" s="13" t="n">
        <v>-3.3</v>
      </c>
      <c r="G10" s="13" t="n">
        <v>-2</v>
      </c>
      <c r="H10" s="13" t="n">
        <v>1.7</v>
      </c>
      <c r="I10" s="13" t="n">
        <v>2.8</v>
      </c>
      <c r="J10" s="13" t="n">
        <v>2.1</v>
      </c>
      <c r="K10" s="13" t="n">
        <v>2</v>
      </c>
      <c r="L10" s="13" t="n">
        <v>3.2</v>
      </c>
      <c r="M10" s="13" t="n">
        <v>3</v>
      </c>
    </row>
    <row r="11">
      <c r="A11" s="3" t="inlineStr">
        <is>
          <t>ETH_JPY</t>
        </is>
      </c>
      <c r="B11" s="3" t="inlineStr">
        <is>
          <t>binance</t>
        </is>
      </c>
      <c r="C11" s="3" t="n">
        <v>5</v>
      </c>
      <c r="D11" s="3" t="inlineStr">
        <is>
          <t>GMO の値段の動き</t>
        </is>
      </c>
      <c r="E11" s="13" t="n">
        <v>0</v>
      </c>
      <c r="F11" s="13" t="n">
        <v>1</v>
      </c>
      <c r="G11" s="13" t="n">
        <v>1.6</v>
      </c>
      <c r="H11" s="13" t="n">
        <v>4.3</v>
      </c>
      <c r="I11" s="13" t="n">
        <v>7.3</v>
      </c>
      <c r="J11" s="13" t="n">
        <v>7.3</v>
      </c>
      <c r="K11" s="13" t="n">
        <v>7.3</v>
      </c>
      <c r="L11" s="13" t="n">
        <v>8.699999999999999</v>
      </c>
      <c r="M11" s="13" t="n">
        <v>8.5</v>
      </c>
    </row>
    <row r="12">
      <c r="A12" s="3" t="inlineStr">
        <is>
          <t>SOL_JPY</t>
        </is>
      </c>
      <c r="B12" s="3" t="inlineStr">
        <is>
          <t>bybit</t>
        </is>
      </c>
      <c r="C12" s="3" t="n">
        <v>5</v>
      </c>
      <c r="D12" s="3" t="inlineStr">
        <is>
          <t>損益</t>
        </is>
      </c>
      <c r="E12" s="13" t="n">
        <v>-12.9</v>
      </c>
      <c r="F12" s="13" t="n">
        <v>-12.8</v>
      </c>
      <c r="G12" s="13" t="n">
        <v>-12.3</v>
      </c>
      <c r="H12" s="13" t="n">
        <v>-11.7</v>
      </c>
      <c r="I12" s="13" t="n">
        <v>-10.1</v>
      </c>
      <c r="J12" s="13" t="n">
        <v>-9.199999999999999</v>
      </c>
      <c r="K12" s="13" t="n">
        <v>-7.7</v>
      </c>
      <c r="L12" s="13" t="n">
        <v>-7.7</v>
      </c>
      <c r="M12" s="13" t="n">
        <v>-5</v>
      </c>
    </row>
    <row r="13">
      <c r="A13" s="3" t="inlineStr">
        <is>
          <t>SOL_JPY</t>
        </is>
      </c>
      <c r="B13" s="3" t="inlineStr">
        <is>
          <t>bybit</t>
        </is>
      </c>
      <c r="C13" s="3" t="n">
        <v>5</v>
      </c>
      <c r="D13" s="3" t="inlineStr">
        <is>
          <t>GMO の値段の動き</t>
        </is>
      </c>
      <c r="E13" s="13" t="n">
        <v>0.1</v>
      </c>
      <c r="F13" s="13" t="n">
        <v>-0.1</v>
      </c>
      <c r="G13" s="13" t="n">
        <v>0.2</v>
      </c>
      <c r="H13" s="13" t="n">
        <v>0.8</v>
      </c>
      <c r="I13" s="13" t="n">
        <v>2.5</v>
      </c>
      <c r="J13" s="13" t="n">
        <v>3.4</v>
      </c>
      <c r="K13" s="13" t="n">
        <v>5.2</v>
      </c>
      <c r="L13" s="13" t="n">
        <v>5.2</v>
      </c>
      <c r="M13" s="13" t="n">
        <v>7.2</v>
      </c>
    </row>
    <row r="14">
      <c r="A14" s="3" t="inlineStr">
        <is>
          <t>SOL_JPY</t>
        </is>
      </c>
      <c r="B14" s="3" t="inlineStr">
        <is>
          <t>binance</t>
        </is>
      </c>
      <c r="C14" s="3" t="n">
        <v>5</v>
      </c>
      <c r="D14" s="3" t="inlineStr">
        <is>
          <t>損益</t>
        </is>
      </c>
      <c r="E14" s="13" t="n">
        <v>-12.8</v>
      </c>
      <c r="F14" s="13" t="n">
        <v>-12.5</v>
      </c>
      <c r="G14" s="13" t="n">
        <v>-12.4</v>
      </c>
      <c r="H14" s="13" t="n">
        <v>-11.1</v>
      </c>
      <c r="I14" s="13" t="n">
        <v>-9.6</v>
      </c>
      <c r="J14" s="13" t="n">
        <v>-8.4</v>
      </c>
      <c r="K14" s="13" t="n">
        <v>-6.7</v>
      </c>
      <c r="L14" s="13" t="n">
        <v>-6.6</v>
      </c>
      <c r="M14" s="13" t="n">
        <v>-4.6</v>
      </c>
    </row>
    <row r="15">
      <c r="A15" s="3" t="inlineStr">
        <is>
          <t>SOL_JPY</t>
        </is>
      </c>
      <c r="B15" s="3" t="inlineStr">
        <is>
          <t>binance</t>
        </is>
      </c>
      <c r="C15" s="3" t="n">
        <v>5</v>
      </c>
      <c r="D15" s="3" t="inlineStr">
        <is>
          <t>GMO の値段の動き</t>
        </is>
      </c>
      <c r="E15" s="13" t="n">
        <v>0</v>
      </c>
      <c r="F15" s="13" t="n">
        <v>0.1</v>
      </c>
      <c r="G15" s="13" t="n">
        <v>0.2</v>
      </c>
      <c r="H15" s="13" t="n">
        <v>0.9</v>
      </c>
      <c r="I15" s="13" t="n">
        <v>2.9</v>
      </c>
      <c r="J15" s="13" t="n">
        <v>4</v>
      </c>
      <c r="K15" s="13" t="n">
        <v>5.9</v>
      </c>
      <c r="L15" s="13" t="n">
        <v>6</v>
      </c>
      <c r="M15" s="13" t="n">
        <v>7.5</v>
      </c>
    </row>
    <row r="16">
      <c r="A16" s="3" t="inlineStr">
        <is>
          <t>DOT_JPY</t>
        </is>
      </c>
      <c r="B16" s="3" t="inlineStr">
        <is>
          <t>bybit</t>
        </is>
      </c>
      <c r="C16" s="3" t="n">
        <v>12</v>
      </c>
      <c r="D16" s="3" t="inlineStr">
        <is>
          <t>損益</t>
        </is>
      </c>
      <c r="E16" s="13" t="n">
        <v>-92.8</v>
      </c>
      <c r="F16" s="13" t="n">
        <v>-94.2</v>
      </c>
      <c r="G16" s="13" t="n">
        <v>-93.40000000000001</v>
      </c>
      <c r="H16" s="13" t="n">
        <v>-95</v>
      </c>
      <c r="I16" s="13" t="n">
        <v>-90.09999999999999</v>
      </c>
      <c r="J16" s="13" t="n">
        <v>-87.7</v>
      </c>
      <c r="K16" s="13" t="n">
        <v>-82.90000000000001</v>
      </c>
      <c r="L16" s="13" t="n">
        <v>-82.7</v>
      </c>
      <c r="M16" s="13" t="n">
        <v>-83.90000000000001</v>
      </c>
    </row>
    <row r="17">
      <c r="A17" s="3" t="inlineStr">
        <is>
          <t>DOT_JPY</t>
        </is>
      </c>
      <c r="B17" s="3" t="inlineStr">
        <is>
          <t>bybit</t>
        </is>
      </c>
      <c r="C17" s="3" t="n">
        <v>12</v>
      </c>
      <c r="D17" s="3" t="inlineStr">
        <is>
          <t>GMO の値段の動き</t>
        </is>
      </c>
      <c r="E17" s="13" t="n">
        <v>0</v>
      </c>
      <c r="F17" s="13" t="n">
        <v>0</v>
      </c>
      <c r="G17" s="13" t="n">
        <v>0</v>
      </c>
      <c r="H17" s="13" t="n">
        <v>1.2</v>
      </c>
      <c r="I17" s="13" t="n">
        <v>2.4</v>
      </c>
      <c r="J17" s="13" t="n">
        <v>7.2</v>
      </c>
      <c r="K17" s="13" t="n">
        <v>9.6</v>
      </c>
      <c r="L17" s="13" t="n">
        <v>10.6</v>
      </c>
      <c r="M17" s="13" t="n">
        <v>13.9</v>
      </c>
    </row>
    <row r="18">
      <c r="A18" s="3" t="inlineStr">
        <is>
          <t>DOT_JPY</t>
        </is>
      </c>
      <c r="B18" s="3" t="inlineStr">
        <is>
          <t>binance</t>
        </is>
      </c>
      <c r="C18" s="3" t="n">
        <v>5</v>
      </c>
      <c r="D18" s="3" t="inlineStr">
        <is>
          <t>損益</t>
        </is>
      </c>
      <c r="E18" s="13" t="n">
        <v>-89.90000000000001</v>
      </c>
      <c r="F18" s="13" t="n">
        <v>-89.7</v>
      </c>
      <c r="G18" s="13" t="n">
        <v>-89.3</v>
      </c>
      <c r="H18" s="13" t="n">
        <v>-89.40000000000001</v>
      </c>
      <c r="I18" s="13" t="n">
        <v>-88.7</v>
      </c>
      <c r="J18" s="13" t="n">
        <v>-87.59999999999999</v>
      </c>
      <c r="K18" s="13" t="n">
        <v>-86.90000000000001</v>
      </c>
      <c r="L18" s="13" t="n">
        <v>-86.59999999999999</v>
      </c>
      <c r="M18" s="13" t="n">
        <v>-85.40000000000001</v>
      </c>
    </row>
    <row r="19">
      <c r="A19" s="3" t="inlineStr">
        <is>
          <t>DOT_JPY</t>
        </is>
      </c>
      <c r="B19" s="3" t="inlineStr">
        <is>
          <t>binance</t>
        </is>
      </c>
      <c r="C19" s="3" t="n">
        <v>5</v>
      </c>
      <c r="D19" s="3" t="inlineStr">
        <is>
          <t>GMO の値段の動き</t>
        </is>
      </c>
      <c r="E19" s="13" t="n">
        <v>0</v>
      </c>
      <c r="F19" s="13" t="n">
        <v>0</v>
      </c>
      <c r="G19" s="13" t="n">
        <v>0.1</v>
      </c>
      <c r="H19" s="13" t="n">
        <v>0.5</v>
      </c>
      <c r="I19" s="13" t="n">
        <v>1.4</v>
      </c>
      <c r="J19" s="13" t="n">
        <v>2.2</v>
      </c>
      <c r="K19" s="13" t="n">
        <v>2.9</v>
      </c>
      <c r="L19" s="13" t="n">
        <v>2.8</v>
      </c>
      <c r="M19" s="13" t="n">
        <v>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</cols>
  <sheetData>
    <row r="1">
      <c r="A1" s="1" t="inlineStr">
        <is>
          <t>Binance 先物の公開データ 2026-09-28〜10-04（7日）。BTC が動いた後、各銘柄の中値が同じ向きに何bps 動いたか。手数料・スプレッド前。約定から推定した値段。</t>
        </is>
      </c>
    </row>
    <row r="3">
      <c r="A3" s="2" t="inlineStr">
        <is>
          <t>BTC の動き（0.1秒の間）</t>
        </is>
      </c>
      <c r="B3" s="2" t="inlineStr">
        <is>
          <t>追いかける銘柄</t>
        </is>
      </c>
      <c r="C3" s="2" t="inlineStr">
        <is>
          <t>合図の回数</t>
        </is>
      </c>
      <c r="D3" s="2" t="inlineStr">
        <is>
          <t>合図の時点で既に bps</t>
        </is>
      </c>
      <c r="E3" s="2" t="inlineStr">
        <is>
          <t>0.1秒後 bps</t>
        </is>
      </c>
      <c r="F3" s="2" t="inlineStr">
        <is>
          <t>0.2秒後 bps</t>
        </is>
      </c>
      <c r="G3" s="2" t="inlineStr">
        <is>
          <t>0.5秒後 bps</t>
        </is>
      </c>
      <c r="H3" s="2" t="inlineStr">
        <is>
          <t>1秒後 bps</t>
        </is>
      </c>
      <c r="I3" s="2" t="inlineStr">
        <is>
          <t>2秒後 bps</t>
        </is>
      </c>
      <c r="J3" s="2" t="inlineStr">
        <is>
          <t>5秒後 bps</t>
        </is>
      </c>
      <c r="K3" s="2" t="inlineStr">
        <is>
          <t>10秒後 bps</t>
        </is>
      </c>
      <c r="L3" s="2" t="inlineStr">
        <is>
          <t>1秒後に同じ向き</t>
        </is>
      </c>
    </row>
    <row r="4">
      <c r="A4" s="3" t="inlineStr">
        <is>
          <t>10bps 以上（50回）</t>
        </is>
      </c>
      <c r="B4" s="3" t="inlineStr">
        <is>
          <t>ETHUSDT</t>
        </is>
      </c>
      <c r="C4" s="3" t="n">
        <v>50</v>
      </c>
      <c r="D4" s="13" t="n">
        <v>1.8</v>
      </c>
      <c r="E4" s="13" t="n">
        <v>3.7</v>
      </c>
      <c r="F4" s="13" t="n">
        <v>3.9</v>
      </c>
      <c r="G4" s="13" t="n">
        <v>3.1</v>
      </c>
      <c r="H4" s="13" t="n">
        <v>2.4</v>
      </c>
      <c r="I4" s="13" t="n">
        <v>2.7</v>
      </c>
      <c r="J4" s="13" t="n">
        <v>2.8</v>
      </c>
      <c r="K4" s="13" t="n">
        <v>2.7</v>
      </c>
      <c r="L4" s="14" t="n">
        <v>0.74</v>
      </c>
    </row>
    <row r="5">
      <c r="A5" s="3" t="inlineStr">
        <is>
          <t>10bps 以上（50回）</t>
        </is>
      </c>
      <c r="B5" s="3" t="inlineStr">
        <is>
          <t>SOLUSDT</t>
        </is>
      </c>
      <c r="C5" s="3" t="n">
        <v>50</v>
      </c>
      <c r="D5" s="13" t="n">
        <v>0.9</v>
      </c>
      <c r="E5" s="13" t="n">
        <v>4.9</v>
      </c>
      <c r="F5" s="13" t="n">
        <v>5.5</v>
      </c>
      <c r="G5" s="13" t="n">
        <v>4.7</v>
      </c>
      <c r="H5" s="13" t="n">
        <v>4.2</v>
      </c>
      <c r="I5" s="13" t="n">
        <v>4.3</v>
      </c>
      <c r="J5" s="13" t="n">
        <v>4.4</v>
      </c>
      <c r="K5" s="13" t="n">
        <v>4.9</v>
      </c>
      <c r="L5" s="14" t="n">
        <v>0.84</v>
      </c>
    </row>
    <row r="6">
      <c r="A6" s="3" t="inlineStr">
        <is>
          <t>10bps 以上（50回）</t>
        </is>
      </c>
      <c r="B6" s="3" t="inlineStr">
        <is>
          <t>XRPUSDT</t>
        </is>
      </c>
      <c r="C6" s="3" t="n">
        <v>50</v>
      </c>
      <c r="D6" s="13" t="n">
        <v>1.7</v>
      </c>
      <c r="E6" s="13" t="n">
        <v>5.1</v>
      </c>
      <c r="F6" s="13" t="n">
        <v>5.4</v>
      </c>
      <c r="G6" s="13" t="n">
        <v>4.8</v>
      </c>
      <c r="H6" s="13" t="n">
        <v>4.5</v>
      </c>
      <c r="I6" s="13" t="n">
        <v>4.3</v>
      </c>
      <c r="J6" s="13" t="n">
        <v>4.1</v>
      </c>
      <c r="K6" s="13" t="n">
        <v>4.1</v>
      </c>
      <c r="L6" s="14" t="n">
        <v>0.8</v>
      </c>
    </row>
    <row r="7">
      <c r="A7" s="3" t="inlineStr">
        <is>
          <t>10bps 以上（50回）</t>
        </is>
      </c>
      <c r="B7" s="3" t="inlineStr">
        <is>
          <t>DOGEUSDT</t>
        </is>
      </c>
      <c r="C7" s="3" t="n">
        <v>50</v>
      </c>
      <c r="D7" s="13" t="n">
        <v>1.2</v>
      </c>
      <c r="E7" s="13" t="n">
        <v>5.3</v>
      </c>
      <c r="F7" s="13" t="n">
        <v>6.2</v>
      </c>
      <c r="G7" s="13" t="n">
        <v>5.4</v>
      </c>
      <c r="H7" s="13" t="n">
        <v>5.3</v>
      </c>
      <c r="I7" s="13" t="n">
        <v>5.4</v>
      </c>
      <c r="J7" s="13" t="n">
        <v>4.2</v>
      </c>
      <c r="K7" s="13" t="n">
        <v>4</v>
      </c>
      <c r="L7" s="14" t="n">
        <v>0.84</v>
      </c>
    </row>
    <row r="8">
      <c r="A8" s="3" t="inlineStr">
        <is>
          <t>10bps 以上（50回）</t>
        </is>
      </c>
      <c r="B8" s="3" t="inlineStr">
        <is>
          <t>ADAUSDT</t>
        </is>
      </c>
      <c r="C8" s="3" t="n">
        <v>50</v>
      </c>
      <c r="D8" s="13" t="n">
        <v>1.1</v>
      </c>
      <c r="E8" s="13" t="n">
        <v>5.1</v>
      </c>
      <c r="F8" s="13" t="n">
        <v>6.2</v>
      </c>
      <c r="G8" s="13" t="n">
        <v>7.3</v>
      </c>
      <c r="H8" s="13" t="n">
        <v>7</v>
      </c>
      <c r="I8" s="13" t="n">
        <v>7</v>
      </c>
      <c r="J8" s="13" t="n">
        <v>7</v>
      </c>
      <c r="K8" s="13" t="n">
        <v>7.8</v>
      </c>
      <c r="L8" s="14" t="n">
        <v>0.88</v>
      </c>
    </row>
    <row r="9">
      <c r="A9" s="3" t="inlineStr">
        <is>
          <t>10bps 以上（50回）</t>
        </is>
      </c>
      <c r="B9" s="3" t="inlineStr">
        <is>
          <t>BNBUSDT</t>
        </is>
      </c>
      <c r="C9" s="3" t="n">
        <v>50</v>
      </c>
      <c r="D9" s="13" t="n">
        <v>0.6</v>
      </c>
      <c r="E9" s="13" t="n">
        <v>2.4</v>
      </c>
      <c r="F9" s="13" t="n">
        <v>3.1</v>
      </c>
      <c r="G9" s="13" t="n">
        <v>3.4</v>
      </c>
      <c r="H9" s="13" t="n">
        <v>3.4</v>
      </c>
      <c r="I9" s="13" t="n">
        <v>3.7</v>
      </c>
      <c r="J9" s="13" t="n">
        <v>3.5</v>
      </c>
      <c r="K9" s="13" t="n">
        <v>3.8</v>
      </c>
      <c r="L9" s="14" t="n">
        <v>0.92</v>
      </c>
    </row>
    <row r="10">
      <c r="A10" s="3" t="inlineStr">
        <is>
          <t>10bps 以上（50回）</t>
        </is>
      </c>
      <c r="B10" s="3" t="inlineStr">
        <is>
          <t>AVAXUSDT</t>
        </is>
      </c>
      <c r="C10" s="3" t="n">
        <v>50</v>
      </c>
      <c r="D10" s="13" t="n">
        <v>0.7</v>
      </c>
      <c r="E10" s="13" t="n">
        <v>3.6</v>
      </c>
      <c r="F10" s="13" t="n">
        <v>4.7</v>
      </c>
      <c r="G10" s="13" t="n">
        <v>5.5</v>
      </c>
      <c r="H10" s="13" t="n">
        <v>5.6</v>
      </c>
      <c r="I10" s="13" t="n">
        <v>5.7</v>
      </c>
      <c r="J10" s="13" t="n">
        <v>4.5</v>
      </c>
      <c r="K10" s="13" t="n">
        <v>3.9</v>
      </c>
      <c r="L10" s="14" t="n">
        <v>0.9</v>
      </c>
    </row>
    <row r="11">
      <c r="A11" s="3" t="inlineStr">
        <is>
          <t>10bps 以上（50回）</t>
        </is>
      </c>
      <c r="B11" s="3" t="inlineStr">
        <is>
          <t>LINKUSDT</t>
        </is>
      </c>
      <c r="C11" s="3" t="n">
        <v>50</v>
      </c>
      <c r="D11" s="13" t="n">
        <v>1.4</v>
      </c>
      <c r="E11" s="13" t="n">
        <v>3.4</v>
      </c>
      <c r="F11" s="13" t="n">
        <v>4.5</v>
      </c>
      <c r="G11" s="13" t="n">
        <v>5.9</v>
      </c>
      <c r="H11" s="13" t="n">
        <v>5.9</v>
      </c>
      <c r="I11" s="13" t="n">
        <v>5.9</v>
      </c>
      <c r="J11" s="13" t="n">
        <v>5.9</v>
      </c>
      <c r="K11" s="13" t="n">
        <v>5.5</v>
      </c>
      <c r="L11" s="14" t="n">
        <v>0.82</v>
      </c>
    </row>
    <row r="12">
      <c r="A12" s="3" t="inlineStr">
        <is>
          <t>10bps 以上（50回）</t>
        </is>
      </c>
      <c r="B12" s="3" t="inlineStr">
        <is>
          <t>DOTUSDT</t>
        </is>
      </c>
      <c r="C12" s="3" t="n">
        <v>50</v>
      </c>
      <c r="D12" s="13" t="n">
        <v>1.1</v>
      </c>
      <c r="E12" s="13" t="n">
        <v>2.3</v>
      </c>
      <c r="F12" s="13" t="n">
        <v>4.9</v>
      </c>
      <c r="G12" s="13" t="n">
        <v>6.8</v>
      </c>
      <c r="H12" s="13" t="n">
        <v>7.1</v>
      </c>
      <c r="I12" s="13" t="n">
        <v>8.300000000000001</v>
      </c>
      <c r="J12" s="13" t="n">
        <v>7.4</v>
      </c>
      <c r="K12" s="13" t="n">
        <v>5.9</v>
      </c>
      <c r="L12" s="14" t="n">
        <v>0.9399999999999999</v>
      </c>
    </row>
    <row r="13">
      <c r="A13" s="3" t="inlineStr">
        <is>
          <t>10bps 以上（50回）</t>
        </is>
      </c>
      <c r="B13" s="3" t="inlineStr">
        <is>
          <t>LTCUSDT</t>
        </is>
      </c>
      <c r="C13" s="3" t="n">
        <v>50</v>
      </c>
      <c r="D13" s="13" t="n">
        <v>0.5</v>
      </c>
      <c r="E13" s="13" t="n">
        <v>2.8</v>
      </c>
      <c r="F13" s="13" t="n">
        <v>3.7</v>
      </c>
      <c r="G13" s="13" t="n">
        <v>5</v>
      </c>
      <c r="H13" s="13" t="n">
        <v>4.5</v>
      </c>
      <c r="I13" s="13" t="n">
        <v>4.4</v>
      </c>
      <c r="J13" s="13" t="n">
        <v>3.5</v>
      </c>
      <c r="K13" s="13" t="n">
        <v>2.7</v>
      </c>
      <c r="L13" s="14" t="n">
        <v>0.88</v>
      </c>
    </row>
    <row r="14">
      <c r="A14" s="3" t="inlineStr">
        <is>
          <t>10bps 以上（50回）</t>
        </is>
      </c>
      <c r="B14" s="3" t="inlineStr">
        <is>
          <t>BCHUSDT</t>
        </is>
      </c>
      <c r="C14" s="3" t="n">
        <v>50</v>
      </c>
      <c r="D14" s="13" t="n">
        <v>1.2</v>
      </c>
      <c r="E14" s="13" t="n">
        <v>3.5</v>
      </c>
      <c r="F14" s="13" t="n">
        <v>4.6</v>
      </c>
      <c r="G14" s="13" t="n">
        <v>5.6</v>
      </c>
      <c r="H14" s="13" t="n">
        <v>5.2</v>
      </c>
      <c r="I14" s="13" t="n">
        <v>5.3</v>
      </c>
      <c r="J14" s="13" t="n">
        <v>4.6</v>
      </c>
      <c r="K14" s="13" t="n">
        <v>4.4</v>
      </c>
      <c r="L14" s="14" t="n">
        <v>0.88</v>
      </c>
    </row>
    <row r="15">
      <c r="A15" s="3" t="inlineStr">
        <is>
          <t>10bps 以上（50回）</t>
        </is>
      </c>
      <c r="B15" s="3" t="inlineStr">
        <is>
          <t>SUIUSDT</t>
        </is>
      </c>
      <c r="C15" s="3" t="n">
        <v>50</v>
      </c>
      <c r="D15" s="13" t="n">
        <v>1.8</v>
      </c>
      <c r="E15" s="13" t="n">
        <v>5.1</v>
      </c>
      <c r="F15" s="13" t="n">
        <v>6.7</v>
      </c>
      <c r="G15" s="13" t="n">
        <v>6.6</v>
      </c>
      <c r="H15" s="13" t="n">
        <v>6.6</v>
      </c>
      <c r="I15" s="13" t="n">
        <v>6.6</v>
      </c>
      <c r="J15" s="13" t="n">
        <v>6.1</v>
      </c>
      <c r="K15" s="13" t="n">
        <v>6</v>
      </c>
      <c r="L15" s="14" t="n">
        <v>0.82</v>
      </c>
    </row>
    <row r="16">
      <c r="A16" s="3" t="inlineStr">
        <is>
          <t>10bps 以上（50回）</t>
        </is>
      </c>
      <c r="B16" s="3" t="inlineStr">
        <is>
          <t>TRXUSDT</t>
        </is>
      </c>
      <c r="C16" s="3" t="n">
        <v>50</v>
      </c>
      <c r="D16" s="13" t="n">
        <v>0.1</v>
      </c>
      <c r="E16" s="13" t="n">
        <v>1</v>
      </c>
      <c r="F16" s="13" t="n">
        <v>1.2</v>
      </c>
      <c r="G16" s="13" t="n">
        <v>1.4</v>
      </c>
      <c r="H16" s="13" t="n">
        <v>1.4</v>
      </c>
      <c r="I16" s="13" t="n">
        <v>1.5</v>
      </c>
      <c r="J16" s="13" t="n">
        <v>1.4</v>
      </c>
      <c r="K16" s="13" t="n">
        <v>1.5</v>
      </c>
      <c r="L16" s="14" t="n">
        <v>0.88</v>
      </c>
    </row>
    <row r="17">
      <c r="A17" s="3" t="inlineStr">
        <is>
          <t>10bps 以上（50回）</t>
        </is>
      </c>
      <c r="B17" s="3" t="inlineStr">
        <is>
          <t>NEARUSDT</t>
        </is>
      </c>
      <c r="C17" s="3" t="n">
        <v>50</v>
      </c>
      <c r="D17" s="13" t="n">
        <v>1.3</v>
      </c>
      <c r="E17" s="13" t="n">
        <v>5.2</v>
      </c>
      <c r="F17" s="13" t="n">
        <v>6.7</v>
      </c>
      <c r="G17" s="13" t="n">
        <v>7.3</v>
      </c>
      <c r="H17" s="13" t="n">
        <v>6.8</v>
      </c>
      <c r="I17" s="13" t="n">
        <v>7.2</v>
      </c>
      <c r="J17" s="13" t="n">
        <v>7.6</v>
      </c>
      <c r="K17" s="13" t="n">
        <v>7.2</v>
      </c>
      <c r="L17" s="14" t="n">
        <v>0.78</v>
      </c>
    </row>
    <row r="18">
      <c r="A18" s="3" t="inlineStr">
        <is>
          <t>10bps 以上（50回）</t>
        </is>
      </c>
      <c r="B18" s="3" t="inlineStr">
        <is>
          <t>APTUSDT</t>
        </is>
      </c>
      <c r="C18" s="3" t="n">
        <v>50</v>
      </c>
      <c r="D18" s="13" t="n">
        <v>1.1</v>
      </c>
      <c r="E18" s="13" t="n">
        <v>3.6</v>
      </c>
      <c r="F18" s="13" t="n">
        <v>5.1</v>
      </c>
      <c r="G18" s="13" t="n">
        <v>6.2</v>
      </c>
      <c r="H18" s="13" t="n">
        <v>6.8</v>
      </c>
      <c r="I18" s="13" t="n">
        <v>6.9</v>
      </c>
      <c r="J18" s="13" t="n">
        <v>6.5</v>
      </c>
      <c r="K18" s="13" t="n">
        <v>7.4</v>
      </c>
      <c r="L18" s="14" t="n">
        <v>0.88</v>
      </c>
    </row>
    <row r="19">
      <c r="A19" s="3" t="inlineStr">
        <is>
          <t>10bps 以上（50回）</t>
        </is>
      </c>
      <c r="B19" s="3" t="inlineStr">
        <is>
          <t>ARBUSDT</t>
        </is>
      </c>
      <c r="C19" s="3" t="n">
        <v>50</v>
      </c>
      <c r="D19" s="13" t="n">
        <v>0.8</v>
      </c>
      <c r="E19" s="13" t="n">
        <v>3.4</v>
      </c>
      <c r="F19" s="13" t="n">
        <v>4.9</v>
      </c>
      <c r="G19" s="13" t="n">
        <v>6.2</v>
      </c>
      <c r="H19" s="13" t="n">
        <v>6.7</v>
      </c>
      <c r="I19" s="13" t="n">
        <v>7.5</v>
      </c>
      <c r="J19" s="13" t="n">
        <v>7.8</v>
      </c>
      <c r="K19" s="13" t="n">
        <v>8.699999999999999</v>
      </c>
      <c r="L19" s="14" t="n">
        <v>0.84</v>
      </c>
    </row>
    <row r="20">
      <c r="A20" s="3" t="inlineStr">
        <is>
          <t>10bps 以上（50回）</t>
        </is>
      </c>
      <c r="B20" s="3" t="inlineStr">
        <is>
          <t>OPUSDT</t>
        </is>
      </c>
      <c r="C20" s="3" t="n">
        <v>50</v>
      </c>
      <c r="D20" s="13" t="n">
        <v>1</v>
      </c>
      <c r="E20" s="13" t="n">
        <v>3.6</v>
      </c>
      <c r="F20" s="13" t="n">
        <v>4.9</v>
      </c>
      <c r="G20" s="13" t="n">
        <v>6.1</v>
      </c>
      <c r="H20" s="13" t="n">
        <v>7.2</v>
      </c>
      <c r="I20" s="13" t="n">
        <v>8.5</v>
      </c>
      <c r="J20" s="13" t="n">
        <v>7.1</v>
      </c>
      <c r="K20" s="13" t="n">
        <v>6.4</v>
      </c>
      <c r="L20" s="14" t="n">
        <v>0.88</v>
      </c>
    </row>
    <row r="21">
      <c r="A21" s="3" t="inlineStr">
        <is>
          <t>10bps 以上（50回）</t>
        </is>
      </c>
      <c r="B21" s="3" t="inlineStr">
        <is>
          <t>FILUSDT</t>
        </is>
      </c>
      <c r="C21" s="3" t="n">
        <v>50</v>
      </c>
      <c r="D21" s="13" t="n">
        <v>1.5</v>
      </c>
      <c r="E21" s="13" t="n">
        <v>3.8</v>
      </c>
      <c r="F21" s="13" t="n">
        <v>4.6</v>
      </c>
      <c r="G21" s="13" t="n">
        <v>5.5</v>
      </c>
      <c r="H21" s="13" t="n">
        <v>6.2</v>
      </c>
      <c r="I21" s="13" t="n">
        <v>6.7</v>
      </c>
      <c r="J21" s="13" t="n">
        <v>5.7</v>
      </c>
      <c r="K21" s="13" t="n">
        <v>5.3</v>
      </c>
      <c r="L21" s="14" t="n">
        <v>0.8</v>
      </c>
    </row>
    <row r="22">
      <c r="A22" s="3" t="inlineStr">
        <is>
          <t>10bps 以上（50回）</t>
        </is>
      </c>
      <c r="B22" s="3" t="inlineStr">
        <is>
          <t>ATOMUSDT</t>
        </is>
      </c>
      <c r="C22" s="3" t="n">
        <v>50</v>
      </c>
      <c r="D22" s="13" t="n">
        <v>-0.1</v>
      </c>
      <c r="E22" s="13" t="n">
        <v>1.9</v>
      </c>
      <c r="F22" s="13" t="n">
        <v>2.4</v>
      </c>
      <c r="G22" s="13" t="n">
        <v>3.8</v>
      </c>
      <c r="H22" s="13" t="n">
        <v>4.5</v>
      </c>
      <c r="I22" s="13" t="n">
        <v>5.6</v>
      </c>
      <c r="J22" s="13" t="n">
        <v>5.1</v>
      </c>
      <c r="K22" s="13" t="n">
        <v>6.1</v>
      </c>
      <c r="L22" s="14" t="n">
        <v>0.58</v>
      </c>
    </row>
    <row r="23">
      <c r="A23" s="3" t="inlineStr">
        <is>
          <t>10bps 以上（50回）</t>
        </is>
      </c>
      <c r="B23" s="3" t="inlineStr">
        <is>
          <t>UNIUSDT</t>
        </is>
      </c>
      <c r="C23" s="3" t="n">
        <v>50</v>
      </c>
      <c r="D23" s="13" t="n">
        <v>1</v>
      </c>
      <c r="E23" s="13" t="n">
        <v>2.9</v>
      </c>
      <c r="F23" s="13" t="n">
        <v>4.5</v>
      </c>
      <c r="G23" s="13" t="n">
        <v>5.9</v>
      </c>
      <c r="H23" s="13" t="n">
        <v>6.4</v>
      </c>
      <c r="I23" s="13" t="n">
        <v>6.6</v>
      </c>
      <c r="J23" s="13" t="n">
        <v>5.9</v>
      </c>
      <c r="K23" s="13" t="n">
        <v>7.5</v>
      </c>
      <c r="L23" s="14" t="n">
        <v>0.86</v>
      </c>
    </row>
    <row r="24">
      <c r="A24" s="3" t="inlineStr">
        <is>
          <t>5bps 以上（400回）</t>
        </is>
      </c>
      <c r="B24" s="3" t="inlineStr">
        <is>
          <t>ETHUSDT</t>
        </is>
      </c>
      <c r="C24" s="3" t="n">
        <v>400</v>
      </c>
      <c r="D24" s="13" t="n">
        <v>1.2</v>
      </c>
      <c r="E24" s="13" t="n">
        <v>2.1</v>
      </c>
      <c r="F24" s="13" t="n">
        <v>2.3</v>
      </c>
      <c r="G24" s="13" t="n">
        <v>2.1</v>
      </c>
      <c r="H24" s="13" t="n">
        <v>2</v>
      </c>
      <c r="I24" s="13" t="n">
        <v>2.1</v>
      </c>
      <c r="J24" s="13" t="n">
        <v>1.8</v>
      </c>
      <c r="K24" s="13" t="n">
        <v>1.8</v>
      </c>
      <c r="L24" s="14" t="n">
        <v>0.84</v>
      </c>
    </row>
    <row r="25">
      <c r="A25" s="3" t="inlineStr">
        <is>
          <t>5bps 以上（400回）</t>
        </is>
      </c>
      <c r="B25" s="3" t="inlineStr">
        <is>
          <t>SOLUSDT</t>
        </is>
      </c>
      <c r="C25" s="3" t="n">
        <v>400</v>
      </c>
      <c r="D25" s="13" t="n">
        <v>0.6</v>
      </c>
      <c r="E25" s="13" t="n">
        <v>2.8</v>
      </c>
      <c r="F25" s="13" t="n">
        <v>3.2</v>
      </c>
      <c r="G25" s="13" t="n">
        <v>3.4</v>
      </c>
      <c r="H25" s="13" t="n">
        <v>3.5</v>
      </c>
      <c r="I25" s="13" t="n">
        <v>3.5</v>
      </c>
      <c r="J25" s="13" t="n">
        <v>3.5</v>
      </c>
      <c r="K25" s="13" t="n">
        <v>3.6</v>
      </c>
      <c r="L25" s="14" t="n">
        <v>0.93</v>
      </c>
    </row>
    <row r="26">
      <c r="A26" s="3" t="inlineStr">
        <is>
          <t>5bps 以上（400回）</t>
        </is>
      </c>
      <c r="B26" s="3" t="inlineStr">
        <is>
          <t>XRPUSDT</t>
        </is>
      </c>
      <c r="C26" s="3" t="n">
        <v>400</v>
      </c>
      <c r="D26" s="13" t="n">
        <v>1.1</v>
      </c>
      <c r="E26" s="13" t="n">
        <v>2.7</v>
      </c>
      <c r="F26" s="13" t="n">
        <v>3.1</v>
      </c>
      <c r="G26" s="13" t="n">
        <v>3</v>
      </c>
      <c r="H26" s="13" t="n">
        <v>3.2</v>
      </c>
      <c r="I26" s="13" t="n">
        <v>3.4</v>
      </c>
      <c r="J26" s="13" t="n">
        <v>3.2</v>
      </c>
      <c r="K26" s="13" t="n">
        <v>3.3</v>
      </c>
      <c r="L26" s="14" t="n">
        <v>0.89</v>
      </c>
    </row>
    <row r="27">
      <c r="A27" s="3" t="inlineStr">
        <is>
          <t>5bps 以上（400回）</t>
        </is>
      </c>
      <c r="B27" s="3" t="inlineStr">
        <is>
          <t>DOGEUSDT</t>
        </is>
      </c>
      <c r="C27" s="3" t="n">
        <v>400</v>
      </c>
      <c r="D27" s="13" t="n">
        <v>0.8</v>
      </c>
      <c r="E27" s="13" t="n">
        <v>2.7</v>
      </c>
      <c r="F27" s="13" t="n">
        <v>3.4</v>
      </c>
      <c r="G27" s="13" t="n">
        <v>3.4</v>
      </c>
      <c r="H27" s="13" t="n">
        <v>3.7</v>
      </c>
      <c r="I27" s="13" t="n">
        <v>4</v>
      </c>
      <c r="J27" s="13" t="n">
        <v>3.7</v>
      </c>
      <c r="K27" s="13" t="n">
        <v>3.9</v>
      </c>
      <c r="L27" s="14" t="n">
        <v>0.9</v>
      </c>
    </row>
    <row r="28">
      <c r="A28" s="3" t="inlineStr">
        <is>
          <t>5bps 以上（400回）</t>
        </is>
      </c>
      <c r="B28" s="3" t="inlineStr">
        <is>
          <t>ADAUSDT</t>
        </is>
      </c>
      <c r="C28" s="3" t="n">
        <v>400</v>
      </c>
      <c r="D28" s="13" t="n">
        <v>0.8</v>
      </c>
      <c r="E28" s="13" t="n">
        <v>2.3</v>
      </c>
      <c r="F28" s="13" t="n">
        <v>2.9</v>
      </c>
      <c r="G28" s="13" t="n">
        <v>3.5</v>
      </c>
      <c r="H28" s="13" t="n">
        <v>3.9</v>
      </c>
      <c r="I28" s="13" t="n">
        <v>4.5</v>
      </c>
      <c r="J28" s="13" t="n">
        <v>4.7</v>
      </c>
      <c r="K28" s="13" t="n">
        <v>5.4</v>
      </c>
      <c r="L28" s="14" t="n">
        <v>0.74</v>
      </c>
    </row>
    <row r="29">
      <c r="A29" s="3" t="inlineStr">
        <is>
          <t>5bps 以上（400回）</t>
        </is>
      </c>
      <c r="B29" s="3" t="inlineStr">
        <is>
          <t>BNBUSDT</t>
        </is>
      </c>
      <c r="C29" s="3" t="n">
        <v>400</v>
      </c>
      <c r="D29" s="13" t="n">
        <v>0.4</v>
      </c>
      <c r="E29" s="13" t="n">
        <v>1.3</v>
      </c>
      <c r="F29" s="13" t="n">
        <v>1.6</v>
      </c>
      <c r="G29" s="13" t="n">
        <v>1.9</v>
      </c>
      <c r="H29" s="13" t="n">
        <v>2.1</v>
      </c>
      <c r="I29" s="13" t="n">
        <v>2.3</v>
      </c>
      <c r="J29" s="13" t="n">
        <v>2.1</v>
      </c>
      <c r="K29" s="13" t="n">
        <v>2.3</v>
      </c>
      <c r="L29" s="14" t="n">
        <v>0.9399999999999999</v>
      </c>
    </row>
    <row r="30">
      <c r="A30" s="3" t="inlineStr">
        <is>
          <t>5bps 以上（400回）</t>
        </is>
      </c>
      <c r="B30" s="3" t="inlineStr">
        <is>
          <t>AVAXUSDT</t>
        </is>
      </c>
      <c r="C30" s="3" t="n">
        <v>400</v>
      </c>
      <c r="D30" s="13" t="n">
        <v>0.7</v>
      </c>
      <c r="E30" s="13" t="n">
        <v>1.7</v>
      </c>
      <c r="F30" s="13" t="n">
        <v>2.2</v>
      </c>
      <c r="G30" s="13" t="n">
        <v>2.8</v>
      </c>
      <c r="H30" s="13" t="n">
        <v>3.4</v>
      </c>
      <c r="I30" s="13" t="n">
        <v>3.9</v>
      </c>
      <c r="J30" s="13" t="n">
        <v>4.2</v>
      </c>
      <c r="K30" s="13" t="n">
        <v>4.4</v>
      </c>
      <c r="L30" s="14" t="n">
        <v>0.86</v>
      </c>
    </row>
    <row r="31">
      <c r="A31" s="3" t="inlineStr">
        <is>
          <t>5bps 以上（400回）</t>
        </is>
      </c>
      <c r="B31" s="3" t="inlineStr">
        <is>
          <t>LINKUSDT</t>
        </is>
      </c>
      <c r="C31" s="3" t="n">
        <v>400</v>
      </c>
      <c r="D31" s="13" t="n">
        <v>1</v>
      </c>
      <c r="E31" s="13" t="n">
        <v>2.2</v>
      </c>
      <c r="F31" s="13" t="n">
        <v>2.8</v>
      </c>
      <c r="G31" s="13" t="n">
        <v>3.4</v>
      </c>
      <c r="H31" s="13" t="n">
        <v>3.6</v>
      </c>
      <c r="I31" s="13" t="n">
        <v>4.2</v>
      </c>
      <c r="J31" s="13" t="n">
        <v>4.3</v>
      </c>
      <c r="K31" s="13" t="n">
        <v>4.8</v>
      </c>
      <c r="L31" s="14" t="n">
        <v>0.87</v>
      </c>
    </row>
    <row r="32">
      <c r="A32" s="3" t="inlineStr">
        <is>
          <t>5bps 以上（400回）</t>
        </is>
      </c>
      <c r="B32" s="3" t="inlineStr">
        <is>
          <t>DOTUSDT</t>
        </is>
      </c>
      <c r="C32" s="3" t="n">
        <v>400</v>
      </c>
      <c r="D32" s="13" t="n">
        <v>0.6</v>
      </c>
      <c r="E32" s="13" t="n">
        <v>1.9</v>
      </c>
      <c r="F32" s="13" t="n">
        <v>2.7</v>
      </c>
      <c r="G32" s="13" t="n">
        <v>3.7</v>
      </c>
      <c r="H32" s="13" t="n">
        <v>4.2</v>
      </c>
      <c r="I32" s="13" t="n">
        <v>5</v>
      </c>
      <c r="J32" s="13" t="n">
        <v>5.3</v>
      </c>
      <c r="K32" s="13" t="n">
        <v>5.4</v>
      </c>
      <c r="L32" s="14" t="n">
        <v>0.86</v>
      </c>
    </row>
    <row r="33">
      <c r="A33" s="3" t="inlineStr">
        <is>
          <t>5bps 以上（400回）</t>
        </is>
      </c>
      <c r="B33" s="3" t="inlineStr">
        <is>
          <t>LTCUSDT</t>
        </is>
      </c>
      <c r="C33" s="3" t="n">
        <v>400</v>
      </c>
      <c r="D33" s="13" t="n">
        <v>0.4</v>
      </c>
      <c r="E33" s="13" t="n">
        <v>1.2</v>
      </c>
      <c r="F33" s="13" t="n">
        <v>1.7</v>
      </c>
      <c r="G33" s="13" t="n">
        <v>2.1</v>
      </c>
      <c r="H33" s="13" t="n">
        <v>2.4</v>
      </c>
      <c r="I33" s="13" t="n">
        <v>2.8</v>
      </c>
      <c r="J33" s="13" t="n">
        <v>3.1</v>
      </c>
      <c r="K33" s="13" t="n">
        <v>3.3</v>
      </c>
      <c r="L33" s="14" t="n">
        <v>0.76</v>
      </c>
    </row>
    <row r="34">
      <c r="A34" s="3" t="inlineStr">
        <is>
          <t>5bps 以上（400回）</t>
        </is>
      </c>
      <c r="B34" s="3" t="inlineStr">
        <is>
          <t>BCHUSDT</t>
        </is>
      </c>
      <c r="C34" s="3" t="n">
        <v>400</v>
      </c>
      <c r="D34" s="13" t="n">
        <v>0.7</v>
      </c>
      <c r="E34" s="13" t="n">
        <v>1.7</v>
      </c>
      <c r="F34" s="13" t="n">
        <v>2.2</v>
      </c>
      <c r="G34" s="13" t="n">
        <v>2.6</v>
      </c>
      <c r="H34" s="13" t="n">
        <v>2.9</v>
      </c>
      <c r="I34" s="13" t="n">
        <v>3.3</v>
      </c>
      <c r="J34" s="13" t="n">
        <v>3.6</v>
      </c>
      <c r="K34" s="13" t="n">
        <v>4.2</v>
      </c>
      <c r="L34" s="14" t="n">
        <v>0.89</v>
      </c>
    </row>
    <row r="35">
      <c r="A35" s="3" t="inlineStr">
        <is>
          <t>5bps 以上（400回）</t>
        </is>
      </c>
      <c r="B35" s="3" t="inlineStr">
        <is>
          <t>SUIUSDT</t>
        </is>
      </c>
      <c r="C35" s="3" t="n">
        <v>400</v>
      </c>
      <c r="D35" s="13" t="n">
        <v>1.2</v>
      </c>
      <c r="E35" s="13" t="n">
        <v>3.7</v>
      </c>
      <c r="F35" s="13" t="n">
        <v>4.4</v>
      </c>
      <c r="G35" s="13" t="n">
        <v>4.5</v>
      </c>
      <c r="H35" s="13" t="n">
        <v>4.8</v>
      </c>
      <c r="I35" s="13" t="n">
        <v>5.1</v>
      </c>
      <c r="J35" s="13" t="n">
        <v>5</v>
      </c>
      <c r="K35" s="13" t="n">
        <v>5</v>
      </c>
      <c r="L35" s="14" t="n">
        <v>0.9</v>
      </c>
    </row>
    <row r="36">
      <c r="A36" s="3" t="inlineStr">
        <is>
          <t>5bps 以上（400回）</t>
        </is>
      </c>
      <c r="B36" s="3" t="inlineStr">
        <is>
          <t>TRXUSDT</t>
        </is>
      </c>
      <c r="C36" s="3" t="n">
        <v>400</v>
      </c>
      <c r="D36" s="13" t="n">
        <v>0</v>
      </c>
      <c r="E36" s="13" t="n">
        <v>0.3</v>
      </c>
      <c r="F36" s="13" t="n">
        <v>0.4</v>
      </c>
      <c r="G36" s="13" t="n">
        <v>0.5</v>
      </c>
      <c r="H36" s="13" t="n">
        <v>0.5</v>
      </c>
      <c r="I36" s="13" t="n">
        <v>0.6</v>
      </c>
      <c r="J36" s="13" t="n">
        <v>0.8</v>
      </c>
      <c r="K36" s="13" t="n">
        <v>0.9</v>
      </c>
      <c r="L36" s="14" t="n">
        <v>0.65</v>
      </c>
    </row>
    <row r="37">
      <c r="A37" s="3" t="inlineStr">
        <is>
          <t>5bps 以上（400回）</t>
        </is>
      </c>
      <c r="B37" s="3" t="inlineStr">
        <is>
          <t>NEARUSDT</t>
        </is>
      </c>
      <c r="C37" s="3" t="n">
        <v>400</v>
      </c>
      <c r="D37" s="13" t="n">
        <v>0.8</v>
      </c>
      <c r="E37" s="13" t="n">
        <v>3</v>
      </c>
      <c r="F37" s="13" t="n">
        <v>3.6</v>
      </c>
      <c r="G37" s="13" t="n">
        <v>4.1</v>
      </c>
      <c r="H37" s="13" t="n">
        <v>4.4</v>
      </c>
      <c r="I37" s="13" t="n">
        <v>5</v>
      </c>
      <c r="J37" s="13" t="n">
        <v>5.2</v>
      </c>
      <c r="K37" s="13" t="n">
        <v>5.6</v>
      </c>
      <c r="L37" s="14" t="n">
        <v>0.8</v>
      </c>
    </row>
    <row r="38">
      <c r="A38" s="3" t="inlineStr">
        <is>
          <t>5bps 以上（400回）</t>
        </is>
      </c>
      <c r="B38" s="3" t="inlineStr">
        <is>
          <t>APTUSDT</t>
        </is>
      </c>
      <c r="C38" s="3" t="n">
        <v>400</v>
      </c>
      <c r="D38" s="13" t="n">
        <v>0.8</v>
      </c>
      <c r="E38" s="13" t="n">
        <v>2.2</v>
      </c>
      <c r="F38" s="13" t="n">
        <v>3</v>
      </c>
      <c r="G38" s="13" t="n">
        <v>3.6</v>
      </c>
      <c r="H38" s="13" t="n">
        <v>4.2</v>
      </c>
      <c r="I38" s="13" t="n">
        <v>4.7</v>
      </c>
      <c r="J38" s="13" t="n">
        <v>4.9</v>
      </c>
      <c r="K38" s="13" t="n">
        <v>5.3</v>
      </c>
      <c r="L38" s="14" t="n">
        <v>0.88</v>
      </c>
    </row>
    <row r="39">
      <c r="A39" s="3" t="inlineStr">
        <is>
          <t>5bps 以上（400回）</t>
        </is>
      </c>
      <c r="B39" s="3" t="inlineStr">
        <is>
          <t>ARBUSDT</t>
        </is>
      </c>
      <c r="C39" s="3" t="n">
        <v>400</v>
      </c>
      <c r="D39" s="13" t="n">
        <v>0.9</v>
      </c>
      <c r="E39" s="13" t="n">
        <v>2.8</v>
      </c>
      <c r="F39" s="13" t="n">
        <v>3.7</v>
      </c>
      <c r="G39" s="13" t="n">
        <v>4.5</v>
      </c>
      <c r="H39" s="13" t="n">
        <v>4.8</v>
      </c>
      <c r="I39" s="13" t="n">
        <v>5.5</v>
      </c>
      <c r="J39" s="13" t="n">
        <v>5.6</v>
      </c>
      <c r="K39" s="13" t="n">
        <v>5.4</v>
      </c>
      <c r="L39" s="14" t="n">
        <v>0.91</v>
      </c>
    </row>
    <row r="40">
      <c r="A40" s="3" t="inlineStr">
        <is>
          <t>5bps 以上（400回）</t>
        </is>
      </c>
      <c r="B40" s="3" t="inlineStr">
        <is>
          <t>OPUSDT</t>
        </is>
      </c>
      <c r="C40" s="3" t="n">
        <v>400</v>
      </c>
      <c r="D40" s="13" t="n">
        <v>0.6</v>
      </c>
      <c r="E40" s="13" t="n">
        <v>1.9</v>
      </c>
      <c r="F40" s="13" t="n">
        <v>2.8</v>
      </c>
      <c r="G40" s="13" t="n">
        <v>3.3</v>
      </c>
      <c r="H40" s="13" t="n">
        <v>3.9</v>
      </c>
      <c r="I40" s="13" t="n">
        <v>4.9</v>
      </c>
      <c r="J40" s="13" t="n">
        <v>5.5</v>
      </c>
      <c r="K40" s="13" t="n">
        <v>6.1</v>
      </c>
      <c r="L40" s="14" t="n">
        <v>0.84</v>
      </c>
    </row>
    <row r="41">
      <c r="A41" s="3" t="inlineStr">
        <is>
          <t>5bps 以上（400回）</t>
        </is>
      </c>
      <c r="B41" s="3" t="inlineStr">
        <is>
          <t>FILUSDT</t>
        </is>
      </c>
      <c r="C41" s="3" t="n">
        <v>400</v>
      </c>
      <c r="D41" s="13" t="n">
        <v>0.8</v>
      </c>
      <c r="E41" s="13" t="n">
        <v>2.2</v>
      </c>
      <c r="F41" s="13" t="n">
        <v>2.7</v>
      </c>
      <c r="G41" s="13" t="n">
        <v>3.3</v>
      </c>
      <c r="H41" s="13" t="n">
        <v>3.7</v>
      </c>
      <c r="I41" s="13" t="n">
        <v>4.1</v>
      </c>
      <c r="J41" s="13" t="n">
        <v>4.3</v>
      </c>
      <c r="K41" s="13" t="n">
        <v>4.5</v>
      </c>
      <c r="L41" s="14" t="n">
        <v>0.84</v>
      </c>
    </row>
    <row r="42">
      <c r="A42" s="3" t="inlineStr">
        <is>
          <t>5bps 以上（400回）</t>
        </is>
      </c>
      <c r="B42" s="3" t="inlineStr">
        <is>
          <t>ATOMUSDT</t>
        </is>
      </c>
      <c r="C42" s="3" t="n">
        <v>400</v>
      </c>
      <c r="D42" s="13" t="n">
        <v>0.1</v>
      </c>
      <c r="E42" s="13" t="n">
        <v>0.8</v>
      </c>
      <c r="F42" s="13" t="n">
        <v>1.1</v>
      </c>
      <c r="G42" s="13" t="n">
        <v>1.7</v>
      </c>
      <c r="H42" s="13" t="n">
        <v>2.2</v>
      </c>
      <c r="I42" s="13" t="n">
        <v>2.8</v>
      </c>
      <c r="J42" s="13" t="n">
        <v>3.6</v>
      </c>
      <c r="K42" s="13" t="n">
        <v>4.8</v>
      </c>
      <c r="L42" s="14" t="n">
        <v>0.37</v>
      </c>
    </row>
    <row r="43">
      <c r="A43" s="3" t="inlineStr">
        <is>
          <t>5bps 以上（400回）</t>
        </is>
      </c>
      <c r="B43" s="3" t="inlineStr">
        <is>
          <t>UNIUSDT</t>
        </is>
      </c>
      <c r="C43" s="3" t="n">
        <v>400</v>
      </c>
      <c r="D43" s="13" t="n">
        <v>0.7</v>
      </c>
      <c r="E43" s="13" t="n">
        <v>1.9</v>
      </c>
      <c r="F43" s="13" t="n">
        <v>2.6</v>
      </c>
      <c r="G43" s="13" t="n">
        <v>3.4</v>
      </c>
      <c r="H43" s="13" t="n">
        <v>3.9</v>
      </c>
      <c r="I43" s="13" t="n">
        <v>4.3</v>
      </c>
      <c r="J43" s="13" t="n">
        <v>4.3</v>
      </c>
      <c r="K43" s="13" t="n">
        <v>4.5</v>
      </c>
      <c r="L43" s="14" t="n">
        <v>0.87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片道の手数料。1bps = 0.01%。</t>
        </is>
      </c>
    </row>
    <row r="3">
      <c r="A3" s="2" t="inlineStr">
        <is>
          <t>取引所</t>
        </is>
      </c>
      <c r="B3" s="2" t="inlineStr">
        <is>
          <t>対象</t>
        </is>
      </c>
      <c r="C3" s="2" t="inlineStr">
        <is>
          <t>指値 bps（マイナスはもらえる）</t>
        </is>
      </c>
      <c r="D3" s="2" t="inlineStr">
        <is>
          <t>成行 bps</t>
        </is>
      </c>
      <c r="E3" s="2" t="inlineStr">
        <is>
          <t>成行の往復 bps</t>
        </is>
      </c>
      <c r="F3" s="2" t="inlineStr">
        <is>
          <t>メモ</t>
        </is>
      </c>
    </row>
    <row r="4">
      <c r="A4" s="3" t="inlineStr">
        <is>
          <t>bitbank</t>
        </is>
      </c>
      <c r="B4" s="3" t="inlineStr">
        <is>
          <t>現物</t>
        </is>
      </c>
      <c r="C4" s="15" t="n">
        <v>-2</v>
      </c>
      <c r="D4" s="15" t="n">
        <v>12</v>
      </c>
      <c r="E4" s="3">
        <f>D4*2</f>
        <v/>
      </c>
      <c r="F4" s="3" t="inlineStr">
        <is>
          <t>指値は手数料をもらえる。成行は高い</t>
        </is>
      </c>
    </row>
    <row r="5">
      <c r="A5" s="3" t="inlineStr">
        <is>
          <t>GMO</t>
        </is>
      </c>
      <c r="B5" s="3" t="inlineStr">
        <is>
          <t>レバレッジ XRP・ETH・BTC・BCH・LTC</t>
        </is>
      </c>
      <c r="C5" s="15" t="n">
        <v>0</v>
      </c>
      <c r="D5" s="15" t="n">
        <v>0</v>
      </c>
      <c r="E5" s="3">
        <f>D5*2</f>
        <v/>
      </c>
      <c r="F5" s="3" t="inlineStr">
        <is>
          <t>手数料0。スプレッドは払う</t>
        </is>
      </c>
    </row>
    <row r="6">
      <c r="A6" s="3" t="inlineStr">
        <is>
          <t>GMO</t>
        </is>
      </c>
      <c r="B6" s="3" t="inlineStr">
        <is>
          <t>レバレッジ ADA・DOT・LINK・SOL など</t>
        </is>
      </c>
      <c r="C6" s="15" t="n">
        <v>0</v>
      </c>
      <c r="D6" s="15" t="n">
        <v>3</v>
      </c>
      <c r="E6" s="3">
        <f>D6*2</f>
        <v/>
      </c>
      <c r="F6" s="3" t="inlineStr">
        <is>
          <t>指値の値は未確認</t>
        </is>
      </c>
    </row>
    <row r="7">
      <c r="A7" s="3" t="inlineStr">
        <is>
          <t>Binance Japan</t>
        </is>
      </c>
      <c r="B7" s="3" t="inlineStr">
        <is>
          <t>現物</t>
        </is>
      </c>
      <c r="C7" s="15" t="n">
        <v>10</v>
      </c>
      <c r="D7" s="15" t="n">
        <v>10</v>
      </c>
      <c r="E7" s="3">
        <f>D7*2</f>
        <v/>
      </c>
      <c r="F7" s="3" t="inlineStr">
        <is>
          <t>BNB 払いで 7.5</t>
        </is>
      </c>
    </row>
    <row r="8">
      <c r="A8" s="3" t="inlineStr">
        <is>
          <t>Binance（本家）</t>
        </is>
      </c>
      <c r="B8" s="3" t="inlineStr">
        <is>
          <t>先物・一般</t>
        </is>
      </c>
      <c r="C8" s="15" t="n">
        <v>2</v>
      </c>
      <c r="D8" s="15" t="n">
        <v>5</v>
      </c>
      <c r="E8" s="3">
        <f>D8*2</f>
        <v/>
      </c>
      <c r="F8" s="3" t="inlineStr">
        <is>
          <t>日本から使えない</t>
        </is>
      </c>
    </row>
    <row r="10">
      <c r="A10" s="1" t="inlineStr">
        <is>
          <t>出典: 各取引所の手数料ページ（2026年10月時点の調べ）と、録画に保存した GMO の手数料。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2026-10-07T08:38:30Z</dcterms:created>
  <dcterms:modified xsi:type="dcterms:W3CDTF">2026-10-07T08:38:30Z</dcterms:modified>
</cp:coreProperties>
</file>